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abf4bdc6c34a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价格总表" sheetId="1" r:id="R525f3a17e5de456c"/>
    <x:sheet xmlns:r="http://schemas.openxmlformats.org/officeDocument/2006/relationships" name="固定资源" sheetId="2" r:id="R9588c63246f94ec9"/>
    <x:sheet xmlns:r="http://schemas.openxmlformats.org/officeDocument/2006/relationships" name="按量计费" sheetId="3" r:id="R969a7dde3dbd47c6"/>
    <x:sheet xmlns:r="http://schemas.openxmlformats.org/officeDocument/2006/relationships" name="价格来源" sheetId="4" r:id="R6319d1645fd44246"/>
    <x:sheet xmlns:r="http://schemas.openxmlformats.org/officeDocument/2006/relationships" name="验算" sheetId="5" r:id="Rcf52bab6b8f346d2"/>
    <x:sheet xmlns:r="http://schemas.openxmlformats.org/officeDocument/2006/relationships" name="语音房与直播" sheetId="6" r:id="R7ea028ce22ba4bf6"/>
  </x:sheets>
</x:workbook>
</file>

<file path=xl/comments1.xml><?xml version="1.0" encoding="utf-8"?>
<x:comments xmlns:x="http://schemas.openxmlformats.org/spreadsheetml/2006/main">
  <x:authors>
    <x:author>tc={9A614515-8F75-499D-B333-406A5BF6F043}</x:author>
  </x:authors>
  <x:commentList>
    <x:comment ref="C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规格来源：https://help.aliyun.com/zh/ecs/user-guide/overview-of-instance-families；ecs.u1-c1m2.xlarge 为4 vCPU、8 GiB。单价未取得实时询价。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tc={5F08E81F-6D4E-4582-B020-DBBCA352A482}</x:author>
  </x:authors>
  <x:commentList>
    <x:comment ref="G1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来源：https://help.aliyun.com/zh/slb/application-load-balancer/alb-billing-rules；标准版0.147元/小时，即14.70元/百小时。核对日期：2026-09-03。</x:t>
        </x:r>
      </x:text>
    </x:comment>
  </x:commentList>
</x:comments>
</file>

<file path=xl/comments3.xml><?xml version="1.0" encoding="utf-8"?>
<x:comments xmlns:x="http://schemas.openxmlformats.org/spreadsheetml/2006/main">
  <x:authors>
    <x:author>tc={6C8DFE44-F155-40A2-8224-6B6DE72ADBDF}</x:author>
    <x:author>tc={FD55C3EB-4067-4465-8D76-4D11BD4C2471}</x:author>
    <x:author>tc={694D099D-D9DE-49B6-90AE-0B99247225E1}</x:author>
    <x:author>tc={0292116A-E7C3-4B7A-BE43-F56A6CD616AF}</x:author>
    <x:author>tc={D3B55538-939D-4A31-B7C1-377A5A019700}</x:author>
    <x:author>tc={10237615-A080-4408-BE7F-5C72EB9A87CA}</x:author>
    <x:author>tc={16ED4AFA-5B43-4A25-A0B6-6E05756305FA}</x:author>
    <x:author>tc={2B1D5775-2662-4956-87EE-A31484D5A248}</x:author>
  </x:authors>
  <x:commentList>
    <x:comment ref="F3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来源：https://help.aliyun.com/zh/live/product-overview/billing-of-co-streaming/；2026-09-03核对中国内地按量目录价。所有在房用户均计费；多路音频不重复算人数。媒体传输已含于ARTC，不再计直播CDN。</x:t>
        </x:r>
      </x:text>
    </x:comment>
    <x:comment ref="F3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来源：https://help.aliyun.com/zh/live/product-overview/billing-of-co-streaming/；2026-09-03核对中国内地按量目录价。每房一个机器人；机器人订阅通话费与录制处理费是两项，不能漏算。</x:t>
        </x:r>
      </x:text>
    </x:comment>
    <x:comment ref="F3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来源：https://help.aliyun.com/zh/live/product-overview/artc-cloud-recording-fee；2026-09-03核对中国内地按量目录价。一房一路合流、单一格式；不是按每个听众录制。OSS存储另列。</x:t>
        </x:r>
      </x:text>
    </x:comment>
    <x:comment ref="F3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来源：https://help.aliyun.com/zh/live/product-overview/billing-of-standard-streaming；2026-09-03核对中国内地按量目录价。中国内地首档0–10TB/月，按量原价；码率×累计观看小时×1.1；超过首档需更新阶梯算法。</x:t>
        </x:r>
      </x:text>
    </x:comment>
    <x:comment ref="F37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来源：https://help.aliyun.com/zh/live/product-overview/billing-of-live-stream-transcoding；2026-09-03核对中国内地按量目录价。按输出流时长收费，与观众人数无关。只算一路，不含窄带高清、1080P或RTS。</x:t>
        </x:r>
      </x:text>
    </x:comment>
    <x:comment ref="F38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来源：https://help.aliyun.com/zh/live/product-overview/billing-of-live-stream-recording；2026-09-03核对中国内地按量目录价。按本月录制峰值并发计费，虽按月出账，仍随录制实际使用量变化。</x:t>
        </x:r>
      </x:text>
    </x:comment>
    <x:comment ref="F39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来源：https://help.aliyun.com/zh/live/product-overview/billing-of-live-stream-recording；2026-09-03核对中国内地按量目录价。仅一份MP4；不是VOD处理，不追加TS转封装费。存储另列。</x:t>
        </x:r>
      </x:text>
    </x:comment>
    <x:comment ref="F40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来源：https://help.aliyun.com/zh/oss/storage-fees；沿用原预算单价，未重新核价。音频合流+视频单路文件，按30天稳态保留；不重复原预算100GB对象存储。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00"/>
    <x:numFmt numFmtId="201" formatCode="&quot;¥&quot;#,##0.00;[Red](&quot;¥&quot;#,##0.00);-"/>
    <x:numFmt numFmtId="202" formatCode="yyyy-mm-dd"/>
    <x:numFmt numFmtId="203" formatCode="&quot;¥&quot;#,##0.00"/>
    <x:numFmt numFmtId="204" formatCode="0.00"/>
    <x:numFmt numFmtId="205" formatCode="&quot;¥&quot;#,##0.00;[Red](&quot;¥&quot;#,##0.00);&quot;-&quot;"/>
    <x:numFmt numFmtId="206" formatCode="0%"/>
    <x:numFmt numFmtId="207" formatCode="0.0"/>
    <x:numFmt numFmtId="208" formatCode="0.0000"/>
  </x:numFmts>
  <x:fonts count="47">
    <x:font>
      <x:sz val="11"/>
      <x:name val="Carlito"/>
    </x:font>
    <x:font>
      <x:b/>
      <x:sz val="18"/>
      <x:color rgb="FFFFFFFF"/>
      <x:name val="Noto Sans CJK SC"/>
    </x:font>
    <x:font>
      <x:b/>
      <x:sz val="10"/>
      <x:color rgb="FF7F6000"/>
      <x:name val="Noto Sans CJK SC"/>
    </x:font>
    <x:font>
      <x:b/>
      <x:sz val="10"/>
      <x:color rgb="FF17365D"/>
      <x:name val="Noto Sans CJK SC"/>
    </x:font>
    <x:font>
      <x:b/>
      <x:sz val="11"/>
      <x:color rgb="FF548235"/>
      <x:name val="Noto Sans CJK SC"/>
    </x:font>
    <x:font>
      <x:sz val="9"/>
      <x:name val="Noto Sans CJK SC"/>
    </x:font>
    <x:font>
      <x:sz val="8"/>
      <x:color rgb="FF0563C1"/>
      <x:name val="Noto Sans CJK SC"/>
    </x:font>
    <x:font>
      <x:sz val="9"/>
      <x:color rgb="FF7F6000"/>
      <x:name val="Noto Sans CJK SC"/>
    </x:font>
    <x:font>
      <x:sz val="9"/>
      <x:color rgb="FF595959"/>
      <x:name val="Noto Sans CJK SC"/>
    </x:font>
    <x:font>
      <x:b/>
      <x:sz val="10"/>
      <x:color rgb="FF1F4E78"/>
      <x:name val="Noto Sans CJK SC"/>
    </x:font>
    <x:font>
      <x:b/>
      <x:sz val="18"/>
      <x:color rgb="FF1F4E78"/>
      <x:name val="Noto Sans CJK SC"/>
    </x:font>
    <x:font>
      <x:b/>
      <x:sz val="10"/>
      <x:color rgb="FF548235"/>
      <x:name val="Noto Sans CJK SC"/>
    </x:font>
    <x:font>
      <x:b/>
      <x:sz val="18"/>
      <x:color rgb="FF548235"/>
      <x:name val="Noto Sans CJK SC"/>
    </x:font>
    <x:font>
      <x:b/>
      <x:sz val="11"/>
      <x:color rgb="FFFFFFFF"/>
      <x:name val="Noto Sans CJK SC"/>
    </x:font>
    <x:font>
      <x:b/>
      <x:sz val="9"/>
      <x:color rgb="FF17365D"/>
      <x:name val="Noto Sans CJK SC"/>
    </x:font>
    <x:font>
      <x:sz val="9"/>
      <x:color rgb="FF17365D"/>
      <x:name val="Noto Sans CJK SC"/>
    </x:font>
    <x:font>
      <x:sz val="9"/>
      <x:color rgb="FF843C0C"/>
      <x:name val="Noto Sans CJK SC"/>
    </x:font>
    <x:font>
      <x:b/>
      <x:sz val="9"/>
      <x:color rgb="FFC00000"/>
      <x:name val="Noto Sans CJK SC"/>
    </x:font>
    <x:font>
      <x:i/>
      <x:sz val="9"/>
      <x:color rgb="FF595959"/>
      <x:name val="Noto Sans CJK SC"/>
    </x:font>
    <x:font>
      <x:b/>
      <x:sz val="9"/>
      <x:color rgb="FF548235"/>
      <x:name val="Noto Sans CJK SC"/>
    </x:font>
    <x:font>
      <x:b/>
      <x:sz val="10"/>
      <x:color rgb="FFFFFFFF"/>
      <x:name val="Noto Sans CJK SC"/>
    </x:font>
    <x:font>
      <x:sz val="10"/>
      <x:color rgb="FF595959"/>
      <x:name val="Noto Sans CJK SC"/>
    </x:font>
    <x:font>
      <x:sz val="10"/>
      <x:name val="Noto Sans CJK SC"/>
    </x:font>
    <x:font>
      <x:sz val="10"/>
      <x:color rgb="FF0563C1"/>
      <x:name val="Noto Sans CJK SC"/>
    </x:font>
    <x:font>
      <x:sz val="10"/>
      <x:color rgb="FF17365D"/>
      <x:name val="Noto Sans CJK SC"/>
    </x:font>
    <x:font>
      <x:b/>
      <x:sz val="10"/>
      <x:color rgb="FFC00000"/>
      <x:name val="Noto Sans CJK SC"/>
    </x:font>
    <x:font>
      <x:sz val="10"/>
      <x:color rgb="FF843C0C"/>
      <x:name val="Noto Sans CJK SC"/>
    </x:font>
    <x:font>
      <x:i/>
      <x:sz val="10"/>
      <x:color rgb="FF595959"/>
      <x:name val="Noto Sans CJK SC"/>
    </x:font>
    <x:font>
      <x:sz val="10"/>
      <x:color rgb="FF7F6000"/>
      <x:name val="Noto Sans CJK SC"/>
    </x:font>
    <x:font>
      <x:sz val="11"/>
      <x:name val="Microsoft YaHei"/>
    </x:font>
    <x:font>
      <x:sz val="9"/>
      <x:name val="Microsoft YaHei"/>
    </x:font>
    <x:font>
      <x:b/>
      <x:sz val="9"/>
      <x:name val="Microsoft YaHei"/>
    </x:font>
    <x:font>
      <x:sz val="10"/>
      <x:name val="Microsoft YaHei"/>
    </x:font>
    <x:font>
      <x:b/>
      <x:sz val="10"/>
      <x:color rgb="FFFFFFFF"/>
      <x:name val="Microsoft YaHei"/>
    </x:font>
    <x:font>
      <x:b/>
      <x:sz val="10"/>
      <x:color rgb="FF17365D"/>
      <x:name val="Microsoft YaHei"/>
    </x:font>
    <x:font>
      <x:b/>
      <x:sz val="10"/>
      <x:color rgb="FF385723"/>
      <x:name val="Microsoft YaHei"/>
    </x:font>
    <x:font>
      <x:sz val="10"/>
      <x:color rgb="FF0563C1"/>
      <x:name val="Microsoft YaHei"/>
    </x:font>
    <x:font>
      <x:b/>
      <x:sz val="10"/>
      <x:color rgb="FF0563C1"/>
      <x:name val="Microsoft YaHei"/>
    </x:font>
    <x:font>
      <x:b/>
      <x:sz val="11"/>
      <x:color rgb="FFFFFFFF"/>
      <x:name val="Carlito"/>
    </x:font>
    <x:font>
      <x:b/>
      <x:sz val="11"/>
      <x:name val="Carlito"/>
    </x:font>
    <x:font>
      <x:sz val="10"/>
      <x:color rgb="FF243746"/>
      <x:name val="Microsoft YaHei"/>
    </x:font>
    <x:font>
      <x:sz val="10"/>
      <x:color rgb="FF0000FF"/>
      <x:name val="Microsoft YaHei"/>
    </x:font>
    <x:font>
      <x:b/>
      <x:sz val="10"/>
      <x:color rgb="FF243746"/>
      <x:name val="Microsoft YaHei"/>
    </x:font>
    <x:font>
      <x:sz val="8"/>
      <x:color rgb="FF536879"/>
      <x:name val="Microsoft YaHei"/>
    </x:font>
    <x:font>
      <x:sz val="10"/>
      <x:color rgb="FF000000"/>
      <x:name val="Microsoft YaHei"/>
    </x:font>
    <x:font>
      <x:sz val="10"/>
      <x:color rgb="FF008000"/>
      <x:name val="Microsoft YaHei"/>
    </x:font>
    <x:font>
      <x:b/>
      <x:sz val="10"/>
      <x:color rgb="FF375623"/>
      <x:name val="Microsoft YaHei"/>
    </x:font>
  </x:fonts>
  <x:fills count="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9C6500"/>
      </x:patternFill>
    </x:fill>
    <x:fill>
      <x:patternFill patternType="solid">
        <x:fgColor rgb="FFE8F2F9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E7EDF4"/>
      </x:patternFill>
    </x:fill>
    <x:fill>
      <x:patternFill patternType="solid">
        <x:fgColor rgb="FFDDEBF7"/>
      </x:patternFill>
    </x:fill>
    <x:fill>
      <x:patternFill patternType="solid">
        <x:fgColor rgb="FFFFF8E8"/>
      </x:patternFill>
    </x:fill>
    <x:fill>
      <x:patternFill patternType="solid">
        <x:fgColor rgb="FFE2F0D9"/>
      </x:patternFill>
    </x:fill>
  </x:fills>
  <x:borders count="35">
    <x:border/>
    <x:border>
      <x:left style="thin">
        <x:color rgb="FF9EADBA"/>
      </x:left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medium">
        <x:color rgb="FF548235"/>
      </x:left>
      <x:top style="medium">
        <x:color rgb="FF548235"/>
      </x:top>
      <x:bottom style="medium">
        <x:color rgb="FF548235"/>
      </x:bottom>
    </x:border>
    <x:border>
      <x:top style="medium">
        <x:color rgb="FF548235"/>
      </x:top>
      <x:bottom style="medium">
        <x:color rgb="FF548235"/>
      </x:bottom>
    </x:border>
    <x:border>
      <x:right style="medium">
        <x:color rgb="FF548235"/>
      </x:right>
      <x:top style="medium">
        <x:color rgb="FF548235"/>
      </x:top>
      <x:bottom style="medium">
        <x:color rgb="FF548235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1F4E78"/>
      </x:left>
      <x:top style="thin">
        <x:color rgb="FF1F4E78"/>
      </x:top>
    </x:border>
    <x:border>
      <x:top style="thin">
        <x:color rgb="FF1F4E78"/>
      </x:top>
    </x:border>
    <x:border>
      <x:right style="thin">
        <x:color rgb="FF1F4E78"/>
      </x:right>
      <x:top style="thin">
        <x:color rgb="FF1F4E78"/>
      </x:top>
    </x:border>
    <x:border>
      <x:left style="thin">
        <x:color rgb="FF1F4E78"/>
      </x:left>
      <x:bottom style="thin">
        <x:color rgb="FF1F4E78"/>
      </x:bottom>
    </x:border>
    <x:border>
      <x:bottom style="thin">
        <x:color rgb="FF1F4E78"/>
      </x:bottom>
    </x:border>
    <x:border>
      <x:right style="thin">
        <x:color rgb="FF1F4E78"/>
      </x:right>
      <x:bottom style="thin">
        <x:color rgb="FF1F4E78"/>
      </x:bottom>
    </x:border>
    <x:border>
      <x:left style="thin">
        <x:color rgb="FF548235"/>
      </x:left>
      <x:top style="thin">
        <x:color rgb="FF548235"/>
      </x:top>
      <x:bottom style="thin">
        <x:color rgb="FF548235"/>
      </x:bottom>
    </x:border>
    <x:border>
      <x:top style="thin">
        <x:color rgb="FF548235"/>
      </x:top>
      <x:bottom style="thin">
        <x:color rgb="FF548235"/>
      </x:bottom>
    </x:border>
    <x:border>
      <x:right style="thin">
        <x:color rgb="FF548235"/>
      </x:right>
      <x:top style="thin">
        <x:color rgb="FF548235"/>
      </x:top>
      <x:bottom style="thin">
        <x:color rgb="FF548235"/>
      </x:bottom>
    </x:border>
    <x:border>
      <x:left style="thin">
        <x:color rgb="FF548235"/>
      </x:left>
      <x:top style="thin">
        <x:color rgb="FF548235"/>
      </x:top>
    </x:border>
    <x:border>
      <x:top style="thin">
        <x:color rgb="FF548235"/>
      </x:top>
    </x:border>
    <x:border>
      <x:right style="thin">
        <x:color rgb="FF548235"/>
      </x:right>
      <x:top style="thin">
        <x:color rgb="FF548235"/>
      </x:top>
    </x:border>
    <x:border>
      <x:left style="thin">
        <x:color rgb="FF548235"/>
      </x:left>
      <x:bottom style="thin">
        <x:color rgb="FF548235"/>
      </x:bottom>
    </x:border>
    <x:border>
      <x:bottom style="thin">
        <x:color rgb="FF548235"/>
      </x:bottom>
    </x:border>
    <x:border>
      <x:right style="thin">
        <x:color rgb="FF548235"/>
      </x:right>
      <x:bottom style="thin">
        <x:color rgb="FF548235"/>
      </x:bottom>
    </x:border>
    <x:border>
      <x:top style="thin">
        <x:color rgb="FFD9E2F3"/>
      </x:top>
    </x:border>
    <x:border>
      <x:bottom style="thin">
        <x:color rgb="FFF4B084"/>
      </x:bottom>
    </x:border>
    <x:border>
      <x:top style="thin">
        <x:color rgb="FFF4B084"/>
      </x:top>
      <x:bottom style="thin">
        <x:color rgb="FFF4B084"/>
      </x:bottom>
    </x:border>
    <x:border>
      <x:top style="thin">
        <x:color rgb="FFF4B084"/>
      </x:top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3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0" borderId="6" xfId="0" applyNumberFormat="1" applyFont="1" applyFill="1" applyBorder="1" applyAlignment="1">
      <x:alignment vertical="center" wrapText="1"/>
    </x:xf>
    <x:xf numFmtId="201" fontId="4" fillId="5" borderId="3" xfId="0" applyNumberFormat="1" applyFont="1" applyFill="1" applyBorder="1"/>
    <x:xf numFmtId="0" fontId="5" fillId="0" borderId="5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201" fontId="5" fillId="0" borderId="6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0" fontId="7" fillId="3" borderId="6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200" fontId="7" fillId="3" borderId="5" xfId="0" applyNumberFormat="1" applyFont="1" applyFill="1" applyBorder="1" applyAlignment="1">
      <x:alignment horizontal="center" vertical="center" wrapText="1"/>
    </x:xf>
    <x:xf numFmtId="200" fontId="7" fillId="3" borderId="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202" fontId="8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9" xfId="0" applyNumberFormat="1" applyFont="1" applyFill="1" applyBorder="1"/>
    <x:xf numFmtId="0" fontId="9" fillId="7" borderId="7" xfId="0" applyNumberFormat="1" applyFont="1" applyFill="1" applyBorder="1" applyAlignment="1">
      <x:alignment horizontal="center"/>
    </x:xf>
    <x:xf numFmtId="0" fontId="9" fillId="7" borderId="8" xfId="0" applyNumberFormat="1" applyFont="1" applyFill="1" applyBorder="1" applyAlignment="1">
      <x:alignment horizontal="center"/>
    </x:xf>
    <x:xf numFmtId="0" fontId="9" fillId="7" borderId="9" xfId="0" applyNumberFormat="1" applyFont="1" applyFill="1" applyBorder="1" applyAlignment="1">
      <x:alignment horizontal="center"/>
    </x:xf>
    <x:xf numFmtId="0" fontId="9" fillId="7" borderId="7" xfId="0" applyNumberFormat="1" applyFont="1" applyFill="1" applyBorder="1" applyAlignment="1">
      <x:alignment horizontal="center" vertical="center"/>
    </x:xf>
    <x:xf numFmtId="0" fontId="9" fillId="7" borderId="8" xfId="0" applyNumberFormat="1" applyFont="1" applyFill="1" applyBorder="1" applyAlignment="1">
      <x:alignment horizontal="center" vertical="center"/>
    </x:xf>
    <x:xf numFmtId="0" fontId="9" fillId="7" borderId="9" xfId="0" applyNumberFormat="1" applyFont="1" applyFill="1" applyBorder="1" applyAlignment="1">
      <x:alignment horizontal="center" vertical="center"/>
    </x:xf>
    <x:xf numFmtId="0" fontId="10" fillId="7" borderId="0" xfId="0" applyNumberFormat="1" applyFont="1" applyFill="1" applyBorder="1"/>
    <x:xf numFmtId="0" fontId="10" fillId="7" borderId="10" xfId="0" applyNumberFormat="1" applyFont="1" applyFill="1" applyBorder="1"/>
    <x:xf numFmtId="0" fontId="10" fillId="7" borderId="11" xfId="0" applyNumberFormat="1" applyFont="1" applyFill="1" applyBorder="1"/>
    <x:xf numFmtId="0" fontId="10" fillId="7" borderId="12" xfId="0" applyNumberFormat="1" applyFont="1" applyFill="1" applyBorder="1"/>
    <x:xf numFmtId="0" fontId="10" fillId="7" borderId="13" xfId="0" applyNumberFormat="1" applyFont="1" applyFill="1" applyBorder="1"/>
    <x:xf numFmtId="0" fontId="10" fillId="7" borderId="14" xfId="0" applyNumberFormat="1" applyFont="1" applyFill="1" applyBorder="1"/>
    <x:xf numFmtId="0" fontId="10" fillId="7" borderId="15" xfId="0" applyNumberFormat="1" applyFont="1" applyFill="1" applyBorder="1"/>
    <x:xf numFmtId="203" fontId="10" fillId="7" borderId="10" xfId="0" applyNumberFormat="1" applyFont="1" applyFill="1" applyBorder="1"/>
    <x:xf numFmtId="203" fontId="10" fillId="7" borderId="11" xfId="0" applyNumberFormat="1" applyFont="1" applyFill="1" applyBorder="1"/>
    <x:xf numFmtId="203" fontId="10" fillId="7" borderId="12" xfId="0" applyNumberFormat="1" applyFont="1" applyFill="1" applyBorder="1"/>
    <x:xf numFmtId="203" fontId="10" fillId="7" borderId="13" xfId="0" applyNumberFormat="1" applyFont="1" applyFill="1" applyBorder="1"/>
    <x:xf numFmtId="203" fontId="10" fillId="7" borderId="14" xfId="0" applyNumberFormat="1" applyFont="1" applyFill="1" applyBorder="1"/>
    <x:xf numFmtId="203" fontId="10" fillId="7" borderId="15" xfId="0" applyNumberFormat="1" applyFont="1" applyFill="1" applyBorder="1"/>
    <x:xf numFmtId="203" fontId="10" fillId="7" borderId="10" xfId="0" applyNumberFormat="1" applyFont="1" applyFill="1" applyBorder="1" applyAlignment="1">
      <x:alignment horizontal="center"/>
    </x:xf>
    <x:xf numFmtId="203" fontId="10" fillId="7" borderId="11" xfId="0" applyNumberFormat="1" applyFont="1" applyFill="1" applyBorder="1" applyAlignment="1">
      <x:alignment horizontal="center"/>
    </x:xf>
    <x:xf numFmtId="203" fontId="10" fillId="7" borderId="12" xfId="0" applyNumberFormat="1" applyFont="1" applyFill="1" applyBorder="1" applyAlignment="1">
      <x:alignment horizontal="center"/>
    </x:xf>
    <x:xf numFmtId="203" fontId="10" fillId="7" borderId="13" xfId="0" applyNumberFormat="1" applyFont="1" applyFill="1" applyBorder="1" applyAlignment="1">
      <x:alignment horizontal="center"/>
    </x:xf>
    <x:xf numFmtId="203" fontId="10" fillId="7" borderId="14" xfId="0" applyNumberFormat="1" applyFont="1" applyFill="1" applyBorder="1" applyAlignment="1">
      <x:alignment horizontal="center"/>
    </x:xf>
    <x:xf numFmtId="203" fontId="10" fillId="7" borderId="15" xfId="0" applyNumberFormat="1" applyFont="1" applyFill="1" applyBorder="1" applyAlignment="1">
      <x:alignment horizontal="center"/>
    </x:xf>
    <x:xf numFmtId="203" fontId="10" fillId="7" borderId="10" xfId="0" applyNumberFormat="1" applyFont="1" applyFill="1" applyBorder="1" applyAlignment="1">
      <x:alignment horizontal="center" vertical="center"/>
    </x:xf>
    <x:xf numFmtId="203" fontId="10" fillId="7" borderId="11" xfId="0" applyNumberFormat="1" applyFont="1" applyFill="1" applyBorder="1" applyAlignment="1">
      <x:alignment horizontal="center" vertical="center"/>
    </x:xf>
    <x:xf numFmtId="203" fontId="10" fillId="7" borderId="12" xfId="0" applyNumberFormat="1" applyFont="1" applyFill="1" applyBorder="1" applyAlignment="1">
      <x:alignment horizontal="center" vertical="center"/>
    </x:xf>
    <x:xf numFmtId="203" fontId="10" fillId="7" borderId="13" xfId="0" applyNumberFormat="1" applyFont="1" applyFill="1" applyBorder="1" applyAlignment="1">
      <x:alignment horizontal="center" vertical="center"/>
    </x:xf>
    <x:xf numFmtId="203" fontId="10" fillId="7" borderId="14" xfId="0" applyNumberFormat="1" applyFont="1" applyFill="1" applyBorder="1" applyAlignment="1">
      <x:alignment horizontal="center" vertical="center"/>
    </x:xf>
    <x:xf numFmtId="203" fontId="10" fillId="7" borderId="15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/>
    <x:xf numFmtId="0" fontId="11" fillId="5" borderId="16" xfId="0" applyNumberFormat="1" applyFont="1" applyFill="1" applyBorder="1"/>
    <x:xf numFmtId="0" fontId="11" fillId="5" borderId="17" xfId="0" applyNumberFormat="1" applyFont="1" applyFill="1" applyBorder="1"/>
    <x:xf numFmtId="0" fontId="11" fillId="5" borderId="18" xfId="0" applyNumberFormat="1" applyFont="1" applyFill="1" applyBorder="1"/>
    <x:xf numFmtId="0" fontId="11" fillId="5" borderId="16" xfId="0" applyNumberFormat="1" applyFont="1" applyFill="1" applyBorder="1" applyAlignment="1">
      <x:alignment horizontal="center"/>
    </x:xf>
    <x:xf numFmtId="0" fontId="11" fillId="5" borderId="17" xfId="0" applyNumberFormat="1" applyFont="1" applyFill="1" applyBorder="1" applyAlignment="1">
      <x:alignment horizontal="center"/>
    </x:xf>
    <x:xf numFmtId="0" fontId="11" fillId="5" borderId="18" xfId="0" applyNumberFormat="1" applyFont="1" applyFill="1" applyBorder="1" applyAlignment="1">
      <x:alignment horizontal="center"/>
    </x:xf>
    <x:xf numFmtId="0" fontId="11" fillId="5" borderId="16" xfId="0" applyNumberFormat="1" applyFont="1" applyFill="1" applyBorder="1" applyAlignment="1">
      <x:alignment horizontal="center" vertical="center"/>
    </x:xf>
    <x:xf numFmtId="0" fontId="11" fillId="5" borderId="17" xfId="0" applyNumberFormat="1" applyFont="1" applyFill="1" applyBorder="1" applyAlignment="1">
      <x:alignment horizontal="center" vertical="center"/>
    </x:xf>
    <x:xf numFmtId="0" fontId="11" fillId="5" borderId="18" xfId="0" applyNumberFormat="1" applyFont="1" applyFill="1" applyBorder="1" applyAlignment="1">
      <x:alignment horizontal="center" vertical="center"/>
    </x:xf>
    <x:xf numFmtId="0" fontId="12" fillId="5" borderId="0" xfId="0" applyNumberFormat="1" applyFont="1" applyFill="1" applyBorder="1"/>
    <x:xf numFmtId="0" fontId="12" fillId="5" borderId="19" xfId="0" applyNumberFormat="1" applyFont="1" applyFill="1" applyBorder="1"/>
    <x:xf numFmtId="0" fontId="12" fillId="5" borderId="20" xfId="0" applyNumberFormat="1" applyFont="1" applyFill="1" applyBorder="1"/>
    <x:xf numFmtId="0" fontId="12" fillId="5" borderId="21" xfId="0" applyNumberFormat="1" applyFont="1" applyFill="1" applyBorder="1"/>
    <x:xf numFmtId="0" fontId="12" fillId="5" borderId="22" xfId="0" applyNumberFormat="1" applyFont="1" applyFill="1" applyBorder="1"/>
    <x:xf numFmtId="0" fontId="12" fillId="5" borderId="23" xfId="0" applyNumberFormat="1" applyFont="1" applyFill="1" applyBorder="1"/>
    <x:xf numFmtId="0" fontId="12" fillId="5" borderId="24" xfId="0" applyNumberFormat="1" applyFont="1" applyFill="1" applyBorder="1"/>
    <x:xf numFmtId="203" fontId="12" fillId="5" borderId="19" xfId="0" applyNumberFormat="1" applyFont="1" applyFill="1" applyBorder="1"/>
    <x:xf numFmtId="203" fontId="12" fillId="5" borderId="20" xfId="0" applyNumberFormat="1" applyFont="1" applyFill="1" applyBorder="1"/>
    <x:xf numFmtId="203" fontId="12" fillId="5" borderId="21" xfId="0" applyNumberFormat="1" applyFont="1" applyFill="1" applyBorder="1"/>
    <x:xf numFmtId="203" fontId="12" fillId="5" borderId="22" xfId="0" applyNumberFormat="1" applyFont="1" applyFill="1" applyBorder="1"/>
    <x:xf numFmtId="203" fontId="12" fillId="5" borderId="23" xfId="0" applyNumberFormat="1" applyFont="1" applyFill="1" applyBorder="1"/>
    <x:xf numFmtId="203" fontId="12" fillId="5" borderId="24" xfId="0" applyNumberFormat="1" applyFont="1" applyFill="1" applyBorder="1"/>
    <x:xf numFmtId="203" fontId="12" fillId="5" borderId="19" xfId="0" applyNumberFormat="1" applyFont="1" applyFill="1" applyBorder="1" applyAlignment="1">
      <x:alignment horizontal="center"/>
    </x:xf>
    <x:xf numFmtId="203" fontId="12" fillId="5" borderId="20" xfId="0" applyNumberFormat="1" applyFont="1" applyFill="1" applyBorder="1" applyAlignment="1">
      <x:alignment horizontal="center"/>
    </x:xf>
    <x:xf numFmtId="203" fontId="12" fillId="5" borderId="21" xfId="0" applyNumberFormat="1" applyFont="1" applyFill="1" applyBorder="1" applyAlignment="1">
      <x:alignment horizontal="center"/>
    </x:xf>
    <x:xf numFmtId="203" fontId="12" fillId="5" borderId="22" xfId="0" applyNumberFormat="1" applyFont="1" applyFill="1" applyBorder="1" applyAlignment="1">
      <x:alignment horizontal="center"/>
    </x:xf>
    <x:xf numFmtId="203" fontId="12" fillId="5" borderId="23" xfId="0" applyNumberFormat="1" applyFont="1" applyFill="1" applyBorder="1" applyAlignment="1">
      <x:alignment horizontal="center"/>
    </x:xf>
    <x:xf numFmtId="203" fontId="12" fillId="5" borderId="24" xfId="0" applyNumberFormat="1" applyFont="1" applyFill="1" applyBorder="1" applyAlignment="1">
      <x:alignment horizontal="center"/>
    </x:xf>
    <x:xf numFmtId="203" fontId="12" fillId="5" borderId="19" xfId="0" applyNumberFormat="1" applyFont="1" applyFill="1" applyBorder="1" applyAlignment="1">
      <x:alignment horizontal="center" vertical="center"/>
    </x:xf>
    <x:xf numFmtId="203" fontId="12" fillId="5" borderId="20" xfId="0" applyNumberFormat="1" applyFont="1" applyFill="1" applyBorder="1" applyAlignment="1">
      <x:alignment horizontal="center" vertical="center"/>
    </x:xf>
    <x:xf numFmtId="203" fontId="12" fillId="5" borderId="21" xfId="0" applyNumberFormat="1" applyFont="1" applyFill="1" applyBorder="1" applyAlignment="1">
      <x:alignment horizontal="center" vertical="center"/>
    </x:xf>
    <x:xf numFmtId="203" fontId="12" fillId="5" borderId="22" xfId="0" applyNumberFormat="1" applyFont="1" applyFill="1" applyBorder="1" applyAlignment="1">
      <x:alignment horizontal="center" vertical="center"/>
    </x:xf>
    <x:xf numFmtId="203" fontId="12" fillId="5" borderId="23" xfId="0" applyNumberFormat="1" applyFont="1" applyFill="1" applyBorder="1" applyAlignment="1">
      <x:alignment horizontal="center" vertical="center"/>
    </x:xf>
    <x:xf numFmtId="203" fontId="12" fillId="5" borderId="2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vertical="center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0" fontId="14" fillId="7" borderId="6" xfId="0" applyNumberFormat="1" applyFont="1" applyFill="1" applyBorder="1" applyAlignment="1">
      <x:alignment vertical="center" wrapText="1"/>
    </x:xf>
    <x:xf numFmtId="0" fontId="14" fillId="3" borderId="6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horizontal="center" vertical="center" wrapText="1"/>
    </x:xf>
    <x:xf numFmtId="0" fontId="14" fillId="7" borderId="6" xfId="0" applyNumberFormat="1" applyFont="1" applyFill="1" applyBorder="1" applyAlignment="1">
      <x:alignment horizontal="center" vertical="center" wrapText="1"/>
    </x:xf>
    <x:xf numFmtId="0" fontId="14" fillId="3" borderId="6" xfId="0" applyNumberFormat="1" applyFont="1" applyFill="1" applyBorder="1" applyAlignment="1">
      <x:alignment horizontal="center" vertical="center" wrapText="1"/>
    </x:xf>
    <x:xf numFmtId="203" fontId="5" fillId="0" borderId="5" xfId="0" applyNumberFormat="1" applyFont="1" applyFill="1" applyBorder="1" applyAlignment="1">
      <x:alignment vertical="center" wrapText="1"/>
    </x:xf>
    <x:xf numFmtId="203" fontId="5" fillId="0" borderId="6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201" fontId="4" fillId="5" borderId="0" xfId="0" applyNumberFormat="1" applyFont="1" applyFill="1" applyBorder="1"/>
    <x:xf numFmtId="0" fontId="15" fillId="7" borderId="0" xfId="0" applyNumberFormat="1" applyFont="1" applyFill="1" applyBorder="1"/>
    <x:xf numFmtId="0" fontId="15" fillId="7" borderId="5" xfId="0" applyNumberFormat="1" applyFont="1" applyFill="1" applyBorder="1"/>
    <x:xf numFmtId="0" fontId="15" fillId="7" borderId="6" xfId="0" applyNumberFormat="1" applyFont="1" applyFill="1" applyBorder="1"/>
    <x:xf numFmtId="0" fontId="15" fillId="7" borderId="25" xfId="0" applyNumberFormat="1" applyFont="1" applyFill="1" applyBorder="1"/>
    <x:xf numFmtId="0" fontId="15" fillId="7" borderId="5" xfId="0" applyNumberFormat="1" applyFont="1" applyFill="1" applyBorder="1" applyAlignment="1">
      <x:alignment wrapText="1"/>
    </x:xf>
    <x:xf numFmtId="0" fontId="15" fillId="7" borderId="6" xfId="0" applyNumberFormat="1" applyFont="1" applyFill="1" applyBorder="1" applyAlignment="1">
      <x:alignment wrapText="1"/>
    </x:xf>
    <x:xf numFmtId="0" fontId="15" fillId="7" borderId="25" xfId="0" applyNumberFormat="1" applyFont="1" applyFill="1" applyBorder="1" applyAlignment="1">
      <x:alignment wrapText="1"/>
    </x:xf>
    <x:xf numFmtId="0" fontId="15" fillId="7" borderId="5" xfId="0" applyNumberFormat="1" applyFont="1" applyFill="1" applyBorder="1" applyAlignment="1">
      <x:alignment vertical="center" wrapText="1"/>
    </x:xf>
    <x:xf numFmtId="0" fontId="15" fillId="7" borderId="6" xfId="0" applyNumberFormat="1" applyFont="1" applyFill="1" applyBorder="1" applyAlignment="1">
      <x:alignment vertical="center" wrapText="1"/>
    </x:xf>
    <x:xf numFmtId="0" fontId="15" fillId="7" borderId="25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16" fillId="9" borderId="26" xfId="0" applyNumberFormat="1" applyFont="1" applyFill="1" applyBorder="1"/>
    <x:xf numFmtId="0" fontId="16" fillId="9" borderId="27" xfId="0" applyNumberFormat="1" applyFont="1" applyFill="1" applyBorder="1"/>
    <x:xf numFmtId="0" fontId="16" fillId="9" borderId="28" xfId="0" applyNumberFormat="1" applyFont="1" applyFill="1" applyBorder="1"/>
    <x:xf numFmtId="0" fontId="16" fillId="9" borderId="26" xfId="0" applyNumberFormat="1" applyFont="1" applyFill="1" applyBorder="1" applyAlignment="1">
      <x:alignment wrapText="1"/>
    </x:xf>
    <x:xf numFmtId="0" fontId="16" fillId="9" borderId="27" xfId="0" applyNumberFormat="1" applyFont="1" applyFill="1" applyBorder="1" applyAlignment="1">
      <x:alignment wrapText="1"/>
    </x:xf>
    <x:xf numFmtId="0" fontId="16" fillId="9" borderId="28" xfId="0" applyNumberFormat="1" applyFont="1" applyFill="1" applyBorder="1" applyAlignment="1">
      <x:alignment wrapText="1"/>
    </x:xf>
    <x:xf numFmtId="0" fontId="16" fillId="9" borderId="26" xfId="0" applyNumberFormat="1" applyFont="1" applyFill="1" applyBorder="1" applyAlignment="1">
      <x:alignment vertical="center" wrapText="1"/>
    </x:xf>
    <x:xf numFmtId="0" fontId="16" fillId="9" borderId="27" xfId="0" applyNumberFormat="1" applyFont="1" applyFill="1" applyBorder="1" applyAlignment="1">
      <x:alignment vertical="center" wrapText="1"/>
    </x:xf>
    <x:xf numFmtId="0" fontId="16" fillId="9" borderId="28" xfId="0" applyNumberFormat="1" applyFont="1" applyFill="1" applyBorder="1" applyAlignment="1">
      <x:alignment vertical="center" wrapText="1"/>
    </x:xf>
    <x:xf numFmtId="0" fontId="17" fillId="9" borderId="26" xfId="0" applyNumberFormat="1" applyFont="1" applyFill="1" applyBorder="1" applyAlignment="1">
      <x:alignment vertical="center" wrapText="1"/>
    </x:xf>
    <x:xf numFmtId="0" fontId="17" fillId="9" borderId="27" xfId="0" applyNumberFormat="1" applyFont="1" applyFill="1" applyBorder="1" applyAlignment="1">
      <x:alignment vertical="center" wrapText="1"/>
    </x:xf>
    <x:xf numFmtId="0" fontId="17" fillId="9" borderId="28" xfId="0" applyNumberFormat="1" applyFont="1" applyFill="1" applyBorder="1" applyAlignment="1">
      <x:alignment vertical="center" wrapText="1"/>
    </x:xf>
    <x:xf numFmtId="0" fontId="18" fillId="6" borderId="0" xfId="0" applyNumberFormat="1" applyFont="1" applyFill="1" applyBorder="1"/>
    <x:xf numFmtId="0" fontId="18" fillId="6" borderId="29" xfId="0" applyNumberFormat="1" applyFont="1" applyFill="1" applyBorder="1"/>
    <x:xf numFmtId="0" fontId="18" fillId="6" borderId="30" xfId="0" applyNumberFormat="1" applyFont="1" applyFill="1" applyBorder="1"/>
    <x:xf numFmtId="0" fontId="18" fillId="6" borderId="31" xfId="0" applyNumberFormat="1" applyFont="1" applyFill="1" applyBorder="1"/>
    <x:xf numFmtId="0" fontId="18" fillId="6" borderId="32" xfId="0" applyNumberFormat="1" applyFont="1" applyFill="1" applyBorder="1"/>
    <x:xf numFmtId="0" fontId="18" fillId="6" borderId="33" xfId="0" applyNumberFormat="1" applyFont="1" applyFill="1" applyBorder="1"/>
    <x:xf numFmtId="0" fontId="18" fillId="6" borderId="34" xfId="0" applyNumberFormat="1" applyFont="1" applyFill="1" applyBorder="1"/>
    <x:xf numFmtId="0" fontId="18" fillId="6" borderId="29" xfId="0" applyNumberFormat="1" applyFont="1" applyFill="1" applyBorder="1" applyAlignment="1">
      <x:alignment wrapText="1"/>
    </x:xf>
    <x:xf numFmtId="0" fontId="18" fillId="6" borderId="30" xfId="0" applyNumberFormat="1" applyFont="1" applyFill="1" applyBorder="1" applyAlignment="1">
      <x:alignment wrapText="1"/>
    </x:xf>
    <x:xf numFmtId="0" fontId="18" fillId="6" borderId="31" xfId="0" applyNumberFormat="1" applyFont="1" applyFill="1" applyBorder="1" applyAlignment="1">
      <x:alignment wrapText="1"/>
    </x:xf>
    <x:xf numFmtId="0" fontId="18" fillId="6" borderId="32" xfId="0" applyNumberFormat="1" applyFont="1" applyFill="1" applyBorder="1" applyAlignment="1">
      <x:alignment wrapText="1"/>
    </x:xf>
    <x:xf numFmtId="0" fontId="18" fillId="6" borderId="33" xfId="0" applyNumberFormat="1" applyFont="1" applyFill="1" applyBorder="1" applyAlignment="1">
      <x:alignment wrapText="1"/>
    </x:xf>
    <x:xf numFmtId="0" fontId="18" fillId="6" borderId="34" xfId="0" applyNumberFormat="1" applyFont="1" applyFill="1" applyBorder="1" applyAlignment="1">
      <x:alignment wrapText="1"/>
    </x:xf>
    <x:xf numFmtId="0" fontId="18" fillId="6" borderId="29" xfId="0" applyNumberFormat="1" applyFont="1" applyFill="1" applyBorder="1" applyAlignment="1">
      <x:alignment vertical="center" wrapText="1"/>
    </x:xf>
    <x:xf numFmtId="0" fontId="18" fillId="6" borderId="30" xfId="0" applyNumberFormat="1" applyFont="1" applyFill="1" applyBorder="1" applyAlignment="1">
      <x:alignment vertical="center" wrapText="1"/>
    </x:xf>
    <x:xf numFmtId="0" fontId="18" fillId="6" borderId="31" xfId="0" applyNumberFormat="1" applyFont="1" applyFill="1" applyBorder="1" applyAlignment="1">
      <x:alignment vertical="center" wrapText="1"/>
    </x:xf>
    <x:xf numFmtId="0" fontId="18" fillId="6" borderId="32" xfId="0" applyNumberFormat="1" applyFont="1" applyFill="1" applyBorder="1" applyAlignment="1">
      <x:alignment vertical="center" wrapText="1"/>
    </x:xf>
    <x:xf numFmtId="0" fontId="18" fillId="6" borderId="33" xfId="0" applyNumberFormat="1" applyFont="1" applyFill="1" applyBorder="1" applyAlignment="1">
      <x:alignment vertical="center" wrapText="1"/>
    </x:xf>
    <x:xf numFmtId="0" fontId="18" fillId="6" borderId="34" xfId="0" applyNumberFormat="1" applyFont="1" applyFill="1" applyBorder="1" applyAlignment="1">
      <x:alignment vertical="center" wrapText="1"/>
    </x:xf>
    <x:xf numFmtId="202" fontId="5" fillId="0" borderId="5" xfId="0" applyNumberFormat="1" applyFont="1" applyFill="1" applyBorder="1" applyAlignment="1">
      <x:alignment vertical="center" wrapText="1"/>
    </x:xf>
    <x:xf numFmtId="202" fontId="5" fillId="0" borderId="6" xfId="0" applyNumberFormat="1" applyFont="1" applyFill="1" applyBorder="1" applyAlignment="1">
      <x:alignment vertical="center" wrapText="1"/>
    </x:xf>
    <x:xf numFmtId="202" fontId="5" fillId="0" borderId="5" xfId="0" applyNumberFormat="1" applyFont="1" applyFill="1" applyBorder="1" applyAlignment="1">
      <x:alignment horizontal="center" vertical="center" wrapText="1"/>
    </x:xf>
    <x:xf numFmtId="202" fontId="5" fillId="0" borderId="6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19" fillId="5" borderId="5" xfId="0" applyNumberFormat="1" applyFont="1" applyFill="1" applyBorder="1" applyAlignment="1">
      <x:alignment vertical="center" wrapText="1"/>
    </x:xf>
    <x:xf numFmtId="0" fontId="19" fillId="5" borderId="6" xfId="0" applyNumberFormat="1" applyFont="1" applyFill="1" applyBorder="1" applyAlignment="1">
      <x:alignment vertical="center" wrapText="1"/>
    </x:xf>
    <x:xf numFmtId="0" fontId="19" fillId="5" borderId="5" xfId="0" applyNumberFormat="1" applyFont="1" applyFill="1" applyBorder="1" applyAlignment="1">
      <x:alignment horizontal="center" vertical="center" wrapText="1"/>
    </x:xf>
    <x:xf numFmtId="0" fontId="19" fillId="5" borderId="6" xfId="0" applyNumberFormat="1" applyFont="1" applyFill="1" applyBorder="1" applyAlignment="1">
      <x:alignment horizontal="center" vertical="center" wrapText="1"/>
    </x:xf>
    <x:xf numFmtId="0" fontId="5" fillId="0" borderId="25" xfId="0" applyNumberFormat="1" applyFont="1" applyFill="1" applyBorder="1"/>
    <x:xf numFmtId="0" fontId="5" fillId="0" borderId="25" xfId="0" applyNumberFormat="1" applyFont="1" applyFill="1" applyBorder="1" applyAlignment="1">
      <x:alignment wrapText="1"/>
    </x:xf>
    <x:xf numFmtId="0" fontId="5" fillId="0" borderId="25" xfId="0" applyNumberFormat="1" applyFont="1" applyFill="1" applyBorder="1" applyAlignment="1">
      <x:alignment vertical="center" wrapText="1"/>
    </x:xf>
    <x:xf numFmtId="0" fontId="20" fillId="2" borderId="0" xfId="0" applyNumberFormat="1" applyFont="1" applyFill="1" applyBorder="1" applyAlignment="1">
      <x:alignment vertical="center"/>
    </x:xf>
    <x:xf numFmtId="0" fontId="21" fillId="6" borderId="0" xfId="0" applyNumberFormat="1" applyFont="1" applyFill="1" applyBorder="1" applyAlignment="1">
      <x:alignment vertical="center" wrapText="1"/>
    </x:xf>
    <x:xf numFmtId="202" fontId="21" fillId="6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/>
    <x:xf numFmtId="203" fontId="9" fillId="7" borderId="10" xfId="0" applyNumberFormat="1" applyFont="1" applyFill="1" applyBorder="1" applyAlignment="1">
      <x:alignment horizontal="center" vertical="center"/>
    </x:xf>
    <x:xf numFmtId="203" fontId="9" fillId="7" borderId="11" xfId="0" applyNumberFormat="1" applyFont="1" applyFill="1" applyBorder="1" applyAlignment="1">
      <x:alignment horizontal="center" vertical="center"/>
    </x:xf>
    <x:xf numFmtId="203" fontId="9" fillId="7" borderId="12" xfId="0" applyNumberFormat="1" applyFont="1" applyFill="1" applyBorder="1" applyAlignment="1">
      <x:alignment horizontal="center" vertical="center"/>
    </x:xf>
    <x:xf numFmtId="203" fontId="11" fillId="5" borderId="19" xfId="0" applyNumberFormat="1" applyFont="1" applyFill="1" applyBorder="1" applyAlignment="1">
      <x:alignment horizontal="center" vertical="center"/>
    </x:xf>
    <x:xf numFmtId="203" fontId="11" fillId="5" borderId="20" xfId="0" applyNumberFormat="1" applyFont="1" applyFill="1" applyBorder="1" applyAlignment="1">
      <x:alignment horizontal="center" vertical="center"/>
    </x:xf>
    <x:xf numFmtId="203" fontId="11" fillId="5" borderId="21" xfId="0" applyNumberFormat="1" applyFont="1" applyFill="1" applyBorder="1" applyAlignment="1">
      <x:alignment horizontal="center" vertical="center"/>
    </x:xf>
    <x:xf numFmtId="203" fontId="9" fillId="7" borderId="13" xfId="0" applyNumberFormat="1" applyFont="1" applyFill="1" applyBorder="1" applyAlignment="1">
      <x:alignment horizontal="center" vertical="center"/>
    </x:xf>
    <x:xf numFmtId="203" fontId="9" fillId="7" borderId="14" xfId="0" applyNumberFormat="1" applyFont="1" applyFill="1" applyBorder="1" applyAlignment="1">
      <x:alignment horizontal="center" vertical="center"/>
    </x:xf>
    <x:xf numFmtId="203" fontId="9" fillId="7" borderId="15" xfId="0" applyNumberFormat="1" applyFont="1" applyFill="1" applyBorder="1" applyAlignment="1">
      <x:alignment horizontal="center" vertical="center"/>
    </x:xf>
    <x:xf numFmtId="203" fontId="11" fillId="5" borderId="22" xfId="0" applyNumberFormat="1" applyFont="1" applyFill="1" applyBorder="1" applyAlignment="1">
      <x:alignment horizontal="center" vertical="center"/>
    </x:xf>
    <x:xf numFmtId="203" fontId="11" fillId="5" borderId="23" xfId="0" applyNumberFormat="1" applyFont="1" applyFill="1" applyBorder="1" applyAlignment="1">
      <x:alignment horizontal="center" vertical="center"/>
    </x:xf>
    <x:xf numFmtId="203" fontId="11" fillId="5" borderId="24" xfId="0" applyNumberFormat="1" applyFont="1" applyFill="1" applyBorder="1" applyAlignment="1">
      <x:alignment horizontal="center" vertical="center"/>
    </x:xf>
    <x:xf numFmtId="0" fontId="20" fillId="8" borderId="0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22" fillId="0" borderId="5" xfId="0" applyNumberFormat="1" applyFont="1" applyFill="1" applyBorder="1" applyAlignment="1">
      <x:alignment vertical="center" wrapText="1"/>
    </x:xf>
    <x:xf numFmtId="200" fontId="22" fillId="0" borderId="5" xfId="0" applyNumberFormat="1" applyFont="1" applyFill="1" applyBorder="1" applyAlignment="1">
      <x:alignment vertical="center" wrapText="1"/>
    </x:xf>
    <x:xf numFmtId="203" fontId="22" fillId="0" borderId="5" xfId="0" applyNumberFormat="1" applyFont="1" applyFill="1" applyBorder="1" applyAlignment="1">
      <x:alignment vertical="center" wrapText="1"/>
    </x:xf>
    <x:xf numFmtId="201" fontId="22" fillId="0" borderId="5" xfId="0" applyNumberFormat="1" applyFont="1" applyFill="1" applyBorder="1" applyAlignment="1">
      <x:alignment vertical="center" wrapText="1"/>
    </x:xf>
    <x:xf numFmtId="0" fontId="23" fillId="0" borderId="5" xfId="0" applyNumberFormat="1" applyFont="1" applyFill="1" applyBorder="1" applyAlignment="1">
      <x:alignment vertical="center" wrapText="1"/>
    </x:xf>
    <x:xf numFmtId="0" fontId="3" fillId="7" borderId="6" xfId="0" applyNumberFormat="1" applyFont="1" applyFill="1" applyBorder="1" applyAlignment="1">
      <x:alignment horizontal="center" vertical="center" wrapText="1"/>
    </x:xf>
    <x:xf numFmtId="0" fontId="22" fillId="0" borderId="6" xfId="0" applyNumberFormat="1" applyFont="1" applyFill="1" applyBorder="1" applyAlignment="1">
      <x:alignment vertical="center" wrapText="1"/>
    </x:xf>
    <x:xf numFmtId="200" fontId="22" fillId="0" borderId="6" xfId="0" applyNumberFormat="1" applyFont="1" applyFill="1" applyBorder="1" applyAlignment="1">
      <x:alignment vertical="center" wrapText="1"/>
    </x:xf>
    <x:xf numFmtId="203" fontId="22" fillId="0" borderId="6" xfId="0" applyNumberFormat="1" applyFont="1" applyFill="1" applyBorder="1" applyAlignment="1">
      <x:alignment vertical="center" wrapText="1"/>
    </x:xf>
    <x:xf numFmtId="201" fontId="22" fillId="0" borderId="6" xfId="0" applyNumberFormat="1" applyFont="1" applyFill="1" applyBorder="1" applyAlignment="1">
      <x:alignment vertical="center" wrapText="1"/>
    </x:xf>
    <x:xf numFmtId="0" fontId="23" fillId="0" borderId="6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horizontal="center" vertical="center" wrapText="1"/>
    </x:xf>
    <x:xf numFmtId="0" fontId="11" fillId="5" borderId="2" xfId="0" applyNumberFormat="1" applyFont="1" applyFill="1" applyBorder="1"/>
    <x:xf numFmtId="0" fontId="11" fillId="5" borderId="3" xfId="0" applyNumberFormat="1" applyFont="1" applyFill="1" applyBorder="1"/>
    <x:xf numFmtId="201" fontId="11" fillId="5" borderId="3" xfId="0" applyNumberFormat="1" applyFont="1" applyFill="1" applyBorder="1"/>
    <x:xf numFmtId="0" fontId="11" fillId="5" borderId="4" xfId="0" applyNumberFormat="1" applyFont="1" applyFill="1" applyBorder="1"/>
    <x:xf numFmtId="0" fontId="24" fillId="7" borderId="5" xfId="0" applyNumberFormat="1" applyFont="1" applyFill="1" applyBorder="1" applyAlignment="1">
      <x:alignment vertical="center" wrapText="1"/>
    </x:xf>
    <x:xf numFmtId="0" fontId="25" fillId="9" borderId="26" xfId="0" applyNumberFormat="1" applyFont="1" applyFill="1" applyBorder="1" applyAlignment="1">
      <x:alignment vertical="center" wrapText="1"/>
    </x:xf>
    <x:xf numFmtId="0" fontId="26" fillId="9" borderId="26" xfId="0" applyNumberFormat="1" applyFont="1" applyFill="1" applyBorder="1" applyAlignment="1">
      <x:alignment vertical="center" wrapText="1"/>
    </x:xf>
    <x:xf numFmtId="0" fontId="24" fillId="7" borderId="6" xfId="0" applyNumberFormat="1" applyFont="1" applyFill="1" applyBorder="1" applyAlignment="1">
      <x:alignment vertical="center" wrapText="1"/>
    </x:xf>
    <x:xf numFmtId="0" fontId="25" fillId="9" borderId="27" xfId="0" applyNumberFormat="1" applyFont="1" applyFill="1" applyBorder="1" applyAlignment="1">
      <x:alignment vertical="center" wrapText="1"/>
    </x:xf>
    <x:xf numFmtId="0" fontId="26" fillId="9" borderId="27" xfId="0" applyNumberFormat="1" applyFont="1" applyFill="1" applyBorder="1" applyAlignment="1">
      <x:alignment vertical="center" wrapText="1"/>
    </x:xf>
    <x:xf numFmtId="0" fontId="24" fillId="7" borderId="25" xfId="0" applyNumberFormat="1" applyFont="1" applyFill="1" applyBorder="1" applyAlignment="1">
      <x:alignment vertical="center" wrapText="1"/>
    </x:xf>
    <x:xf numFmtId="0" fontId="25" fillId="9" borderId="28" xfId="0" applyNumberFormat="1" applyFont="1" applyFill="1" applyBorder="1" applyAlignment="1">
      <x:alignment vertical="center" wrapText="1"/>
    </x:xf>
    <x:xf numFmtId="0" fontId="26" fillId="9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0" fontId="27" fillId="6" borderId="31" xfId="0" applyNumberFormat="1" applyFont="1" applyFill="1" applyBorder="1" applyAlignment="1">
      <x:alignment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6" borderId="33" xfId="0" applyNumberFormat="1" applyFont="1" applyFill="1" applyBorder="1" applyAlignment="1">
      <x:alignment vertical="center" wrapText="1"/>
    </x:xf>
    <x:xf numFmtId="0" fontId="27" fillId="6" borderId="34" xfId="0" applyNumberFormat="1" applyFont="1" applyFill="1" applyBorder="1" applyAlignment="1">
      <x:alignment vertical="center" wrapText="1"/>
    </x:xf>
    <x:xf numFmtId="0" fontId="22" fillId="0" borderId="5" xfId="0" applyNumberFormat="1" applyFont="1" applyFill="1" applyBorder="1" applyAlignment="1">
      <x:alignment horizontal="center" vertical="center" wrapText="1"/>
    </x:xf>
    <x:xf numFmtId="200" fontId="22" fillId="0" borderId="5" xfId="0" applyNumberFormat="1" applyFont="1" applyFill="1" applyBorder="1" applyAlignment="1">
      <x:alignment horizontal="center" vertical="center" wrapText="1"/>
    </x:xf>
    <x:xf numFmtId="201" fontId="22" fillId="0" borderId="5" xfId="0" applyNumberFormat="1" applyFont="1" applyFill="1" applyBorder="1" applyAlignment="1">
      <x:alignment horizontal="center" vertical="center" wrapText="1"/>
    </x:xf>
    <x:xf numFmtId="0" fontId="22" fillId="0" borderId="6" xfId="0" applyNumberFormat="1" applyFont="1" applyFill="1" applyBorder="1" applyAlignment="1">
      <x:alignment horizontal="center" vertical="center" wrapText="1"/>
    </x:xf>
    <x:xf numFmtId="200" fontId="22" fillId="0" borderId="6" xfId="0" applyNumberFormat="1" applyFont="1" applyFill="1" applyBorder="1" applyAlignment="1">
      <x:alignment horizontal="center" vertical="center" wrapText="1"/>
    </x:xf>
    <x:xf numFmtId="201" fontId="22" fillId="0" borderId="6" xfId="0" applyNumberFormat="1" applyFont="1" applyFill="1" applyBorder="1" applyAlignment="1">
      <x:alignment horizontal="center" vertical="center" wrapText="1"/>
    </x:xf>
    <x:xf numFmtId="200" fontId="28" fillId="3" borderId="5" xfId="0" applyNumberFormat="1" applyFont="1" applyFill="1" applyBorder="1" applyAlignment="1">
      <x:alignment horizontal="center" vertical="center" wrapText="1"/>
    </x:xf>
    <x:xf numFmtId="200" fontId="28" fillId="3" borderId="6" xfId="0" applyNumberFormat="1" applyFont="1" applyFill="1" applyBorder="1" applyAlignment="1">
      <x:alignment horizontal="center" vertical="center" wrapText="1"/>
    </x:xf>
    <x:xf numFmtId="202" fontId="22" fillId="0" borderId="5" xfId="0" applyNumberFormat="1" applyFont="1" applyFill="1" applyBorder="1" applyAlignment="1">
      <x:alignment horizontal="center" vertical="center" wrapText="1"/>
    </x:xf>
    <x:xf numFmtId="202" fontId="22" fillId="0" borderId="6" xfId="0" applyNumberFormat="1" applyFont="1" applyFill="1" applyBorder="1" applyAlignment="1">
      <x:alignment horizontal="center" vertical="center" wrapText="1"/>
    </x:xf>
    <x:xf numFmtId="0" fontId="11" fillId="5" borderId="5" xfId="0" applyNumberFormat="1" applyFont="1" applyFill="1" applyBorder="1" applyAlignment="1">
      <x:alignment horizontal="center" vertical="center" wrapText="1"/>
    </x:xf>
    <x:xf numFmtId="0" fontId="11" fillId="5" borderId="6" xfId="0" applyNumberFormat="1" applyFont="1" applyFill="1" applyBorder="1" applyAlignment="1">
      <x:alignment horizontal="center" vertical="center" wrapText="1"/>
    </x:xf>
    <x:xf numFmtId="0" fontId="20" fillId="8" borderId="0" xfId="0" applyNumberFormat="1" applyFont="1" applyFill="1" applyBorder="1"/>
    <x:xf numFmtId="0" fontId="22" fillId="0" borderId="25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/>
    <x:xf numFmtId="0" fontId="30" fillId="0" borderId="0" xfId="0" applyNumberFormat="1" applyFont="1" applyFill="1" applyBorder="1"/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0" fontId="30" fillId="10" borderId="0" xfId="0" applyNumberFormat="1" applyFont="1" applyFill="1" applyBorder="1" applyAlignment="1">
      <x:alignment vertical="center" wrapText="1"/>
    </x:xf>
    <x:xf numFmtId="204" fontId="30" fillId="10" borderId="0" xfId="0" applyNumberFormat="1" applyFont="1" applyFill="1" applyBorder="1" applyAlignment="1">
      <x:alignment vertical="center" wrapText="1"/>
    </x:xf>
    <x:xf numFmtId="205" fontId="30" fillId="0" borderId="0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205" fontId="30" fillId="11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5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/>
    <x:xf numFmtId="0" fontId="32" fillId="0" borderId="0" xfId="0" applyNumberFormat="1" applyFont="1" applyFill="1" applyBorder="1" applyAlignment="1">
      <x:alignment wrapText="1"/>
    </x:xf>
    <x:xf numFmtId="0" fontId="32" fillId="0" borderId="0" xfId="0" applyNumberFormat="1" applyFont="1" applyFill="1" applyBorder="1" applyAlignment="1">
      <x:alignment vertical="center" wrapText="1"/>
    </x:xf>
    <x:xf numFmtId="205" fontId="32" fillId="0" borderId="0" xfId="0" applyNumberFormat="1" applyFont="1" applyFill="1" applyBorder="1" applyAlignment="1">
      <x:alignment vertical="center" wrapText="1"/>
    </x:xf>
    <x:xf numFmtId="204" fontId="32" fillId="0" borderId="0" xfId="0" applyNumberFormat="1" applyFont="1" applyFill="1" applyBorder="1" applyAlignment="1">
      <x:alignment vertical="center" wrapText="1"/>
    </x:xf>
    <x:xf numFmtId="0" fontId="32" fillId="12" borderId="0" xfId="0" applyNumberFormat="1" applyFont="1" applyFill="1" applyBorder="1" applyAlignment="1">
      <x:alignment vertical="center" wrapText="1"/>
    </x:xf>
    <x:xf numFmtId="0" fontId="33" fillId="12" borderId="0" xfId="0" applyNumberFormat="1" applyFont="1" applyFill="1" applyBorder="1" applyAlignment="1">
      <x:alignment vertical="center" wrapText="1"/>
    </x:xf>
    <x:xf numFmtId="0" fontId="32" fillId="13" borderId="0" xfId="0" applyNumberFormat="1" applyFont="1" applyFill="1" applyBorder="1" applyAlignment="1">
      <x:alignment vertical="center" wrapText="1"/>
    </x:xf>
    <x:xf numFmtId="0" fontId="34" fillId="1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4" fontId="32" fillId="11" borderId="0" xfId="0" applyNumberFormat="1" applyFont="1" applyFill="1" applyBorder="1" applyAlignment="1">
      <x:alignment vertical="center" wrapText="1"/>
    </x:xf>
    <x:xf numFmtId="205" fontId="32" fillId="11" borderId="0" xfId="0" applyNumberFormat="1" applyFont="1" applyFill="1" applyBorder="1" applyAlignment="1">
      <x:alignment vertical="center" wrapText="1"/>
    </x:xf>
    <x:xf numFmtId="0" fontId="35" fillId="11" borderId="0" xfId="0" applyNumberFormat="1" applyFont="1" applyFill="1" applyBorder="1" applyAlignment="1">
      <x:alignment vertical="center" wrapText="1"/>
    </x:xf>
    <x:xf numFmtId="204" fontId="35" fillId="11" borderId="0" xfId="0" applyNumberFormat="1" applyFont="1" applyFill="1" applyBorder="1" applyAlignment="1">
      <x:alignment vertical="center" wrapText="1"/>
    </x:xf>
    <x:xf numFmtId="205" fontId="35" fillId="11" borderId="0" xfId="0" applyNumberFormat="1" applyFont="1" applyFill="1" applyBorder="1" applyAlignment="1">
      <x:alignment vertical="center" wrapText="1"/>
    </x:xf>
    <x:xf numFmtId="0" fontId="32" fillId="14" borderId="0" xfId="0" applyNumberFormat="1" applyFont="1" applyFill="1" applyBorder="1" applyAlignment="1">
      <x:alignment vertical="center" wrapText="1"/>
    </x:xf>
    <x:xf numFmtId="204" fontId="32" fillId="14" borderId="0" xfId="0" applyNumberFormat="1" applyFont="1" applyFill="1" applyBorder="1" applyAlignment="1">
      <x:alignment vertical="center" wrapText="1"/>
    </x:xf>
    <x:xf numFmtId="205" fontId="32" fillId="14" borderId="0" xfId="0" applyNumberFormat="1" applyFont="1" applyFill="1" applyBorder="1" applyAlignment="1">
      <x:alignment vertical="center" wrapText="1"/>
    </x:xf>
    <x:xf numFmtId="0" fontId="33" fillId="14" borderId="0" xfId="0" applyNumberFormat="1" applyFont="1" applyFill="1" applyBorder="1" applyAlignment="1">
      <x:alignment vertical="center" wrapText="1"/>
    </x:xf>
    <x:xf numFmtId="204" fontId="33" fillId="14" borderId="0" xfId="0" applyNumberFormat="1" applyFont="1" applyFill="1" applyBorder="1" applyAlignment="1">
      <x:alignment vertical="center" wrapText="1"/>
    </x:xf>
    <x:xf numFmtId="205" fontId="33" fillId="14" borderId="0" xfId="0" applyNumberFormat="1" applyFont="1" applyFill="1" applyBorder="1" applyAlignment="1">
      <x:alignment vertical="center" wrapText="1"/>
    </x:xf>
    <x:xf numFmtId="204" fontId="32" fillId="13" borderId="0" xfId="0" applyNumberFormat="1" applyFont="1" applyFill="1" applyBorder="1" applyAlignment="1">
      <x:alignment vertical="center" wrapText="1"/>
    </x:xf>
    <x:xf numFmtId="205" fontId="32" fillId="13" borderId="0" xfId="0" applyNumberFormat="1" applyFont="1" applyFill="1" applyBorder="1" applyAlignment="1">
      <x:alignment vertical="center" wrapText="1"/>
    </x:xf>
    <x:xf numFmtId="204" fontId="34" fillId="13" borderId="0" xfId="0" applyNumberFormat="1" applyFont="1" applyFill="1" applyBorder="1" applyAlignment="1">
      <x:alignment vertical="center" wrapText="1"/>
    </x:xf>
    <x:xf numFmtId="205" fontId="34" fillId="13" borderId="0" xfId="0" applyNumberFormat="1" applyFont="1" applyFill="1" applyBorder="1" applyAlignment="1">
      <x:alignment vertical="center" wrapText="1"/>
    </x:xf>
    <x:xf numFmtId="204" fontId="32" fillId="10" borderId="0" xfId="0" applyNumberFormat="1" applyFont="1" applyFill="1" applyBorder="1" applyAlignment="1">
      <x:alignment vertical="center" wrapText="1"/>
    </x:xf>
    <x:xf numFmtId="0" fontId="32" fillId="10" borderId="0" xfId="0" applyNumberFormat="1" applyFont="1" applyFill="1" applyBorder="1" applyAlignment="1">
      <x:alignment vertical="center" wrapText="1"/>
    </x:xf>
    <x:xf numFmtId="205" fontId="32" fillId="10" borderId="0" xfId="0" applyNumberFormat="1" applyFont="1" applyFill="1" applyBorder="1" applyAlignment="1">
      <x:alignment vertical="center" wrapText="1"/>
    </x:xf>
    <x:xf numFmtId="0" fontId="35" fillId="10" borderId="0" xfId="0" applyNumberFormat="1" applyFont="1" applyFill="1" applyBorder="1" applyAlignment="1">
      <x:alignment vertical="center" wrapText="1"/>
    </x:xf>
    <x:xf numFmtId="204" fontId="35" fillId="10" borderId="0" xfId="0" applyNumberFormat="1" applyFont="1" applyFill="1" applyBorder="1" applyAlignment="1">
      <x:alignment vertical="center" wrapText="1"/>
    </x:xf>
    <x:xf numFmtId="205" fontId="35" fillId="10" borderId="0" xfId="0" applyNumberFormat="1" applyFont="1" applyFill="1" applyBorder="1" applyAlignment="1">
      <x:alignment vertical="center" wrapText="1"/>
    </x:xf>
    <x:xf numFmtId="204" fontId="32" fillId="12" borderId="0" xfId="0" applyNumberFormat="1" applyFont="1" applyFill="1" applyBorder="1" applyAlignment="1">
      <x:alignment vertical="center" wrapText="1"/>
    </x:xf>
    <x:xf numFmtId="205" fontId="32" fillId="12" borderId="0" xfId="0" applyNumberFormat="1" applyFont="1" applyFill="1" applyBorder="1" applyAlignment="1">
      <x:alignment vertical="center" wrapText="1"/>
    </x:xf>
    <x:xf numFmtId="204" fontId="33" fillId="12" borderId="0" xfId="0" applyNumberFormat="1" applyFont="1" applyFill="1" applyBorder="1" applyAlignment="1">
      <x:alignment vertical="center" wrapText="1"/>
    </x:xf>
    <x:xf numFmtId="205" fontId="33" fillId="12" borderId="0" xfId="0" applyNumberFormat="1" applyFont="1" applyFill="1" applyBorder="1" applyAlignment="1">
      <x:alignment vertical="center" wrapText="1"/>
    </x:xf>
    <x:xf numFmtId="0" fontId="32" fillId="15" borderId="0" xfId="0" applyNumberFormat="1" applyFont="1" applyFill="1" applyBorder="1" applyAlignment="1">
      <x:alignment vertical="center" wrapText="1"/>
    </x:xf>
    <x:xf numFmtId="0" fontId="36" fillId="0" borderId="0" xfId="0" applyNumberFormat="1" applyFont="1" applyFill="1" applyBorder="1" applyAlignment="1">
      <x:alignment vertical="center" wrapText="1"/>
    </x:xf>
    <x:xf numFmtId="0" fontId="37" fillId="11" borderId="0" xfId="0" applyNumberFormat="1" applyFont="1" applyFill="1" applyBorder="1" applyAlignment="1">
      <x:alignment vertical="center" wrapText="1"/>
    </x:xf>
    <x:xf numFmtId="0" fontId="37" fillId="14" borderId="0" xfId="0" applyNumberFormat="1" applyFont="1" applyFill="1" applyBorder="1" applyAlignment="1">
      <x:alignment vertical="center" wrapText="1"/>
    </x:xf>
    <x:xf numFmtId="0" fontId="37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8" fillId="16" borderId="0" xfId="0" applyNumberFormat="1" applyFont="1" applyFill="1" applyBorder="1"/>
    <x:xf numFmtId="0" fontId="0" fillId="17" borderId="0" xfId="0" applyNumberFormat="1" applyFont="1" applyFill="1" applyBorder="1"/>
    <x:xf numFmtId="0" fontId="39" fillId="1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203" fontId="0" fillId="18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18" borderId="0" xfId="0" applyNumberFormat="1" applyFont="1" applyFill="1" applyBorder="1" applyAlignment="1">
      <x:alignment vertical="center" wrapText="1"/>
    </x:xf>
    <x:xf numFmtId="0" fontId="40" fillId="0" borderId="0" xfId="0" applyNumberFormat="1" applyFont="1" applyFill="1" applyBorder="1"/>
    <x:xf numFmtId="0" fontId="40" fillId="0" borderId="0" xfId="0" applyNumberFormat="1" applyFont="1" applyFill="1" applyBorder="1" applyAlignment="1">
      <x:alignment wrapText="1"/>
    </x:xf>
    <x:xf numFmtId="0" fontId="40" fillId="0" borderId="0" xfId="0" applyNumberFormat="1" applyFont="1" applyFill="1" applyBorder="1" applyAlignment="1">
      <x:alignment vertical="center" wrapText="1"/>
    </x:xf>
    <x:xf numFmtId="0" fontId="40" fillId="19" borderId="0" xfId="0" applyNumberFormat="1" applyFont="1" applyFill="1" applyBorder="1" applyAlignment="1">
      <x:alignment vertical="center" wrapText="1"/>
    </x:xf>
    <x:xf numFmtId="0" fontId="33" fillId="19" borderId="0" xfId="0" applyNumberFormat="1" applyFont="1" applyFill="1" applyBorder="1" applyAlignment="1">
      <x:alignment vertical="center" wrapText="1"/>
    </x:xf>
    <x:xf numFmtId="0" fontId="40" fillId="20" borderId="0" xfId="0" applyNumberFormat="1" applyFont="1" applyFill="1" applyBorder="1" applyAlignment="1">
      <x:alignment vertical="center" wrapText="1"/>
    </x:xf>
    <x:xf numFmtId="0" fontId="40" fillId="21" borderId="0" xfId="0" applyNumberFormat="1" applyFont="1" applyFill="1" applyBorder="1" applyAlignment="1">
      <x:alignment vertical="center" wrapText="1"/>
    </x:xf>
    <x:xf numFmtId="0" fontId="41" fillId="21" borderId="0" xfId="0" applyNumberFormat="1" applyFont="1" applyFill="1" applyBorder="1" applyAlignment="1">
      <x:alignment vertical="center" wrapText="1"/>
    </x:xf>
    <x:xf numFmtId="0" fontId="40" fillId="22" borderId="0" xfId="0" applyNumberFormat="1" applyFont="1" applyFill="1" applyBorder="1" applyAlignment="1">
      <x:alignment vertical="center" wrapText="1"/>
    </x:xf>
    <x:xf numFmtId="0" fontId="40" fillId="23" borderId="0" xfId="0" applyNumberFormat="1" applyFont="1" applyFill="1" applyBorder="1" applyAlignment="1">
      <x:alignment vertical="center" wrapText="1"/>
    </x:xf>
    <x:xf numFmtId="0" fontId="41" fillId="23" borderId="0" xfId="0" applyNumberFormat="1" applyFont="1" applyFill="1" applyBorder="1" applyAlignment="1">
      <x:alignment vertical="center" wrapText="1"/>
    </x:xf>
    <x:xf numFmtId="206" fontId="41" fillId="21" borderId="0" xfId="0" applyNumberFormat="1" applyFont="1" applyFill="1" applyBorder="1" applyAlignment="1">
      <x:alignment vertical="center" wrapText="1"/>
    </x:xf>
    <x:xf numFmtId="207" fontId="41" fillId="21" borderId="0" xfId="0" applyNumberFormat="1" applyFont="1" applyFill="1" applyBorder="1" applyAlignment="1">
      <x:alignment vertical="center" wrapText="1"/>
    </x:xf>
    <x:xf numFmtId="0" fontId="40" fillId="24" borderId="0" xfId="0" applyNumberFormat="1" applyFont="1" applyFill="1" applyBorder="1" applyAlignment="1">
      <x:alignment vertical="center" wrapText="1"/>
    </x:xf>
    <x:xf numFmtId="0" fontId="42" fillId="24" borderId="0" xfId="0" applyNumberFormat="1" applyFont="1" applyFill="1" applyBorder="1" applyAlignment="1">
      <x:alignment vertical="center" wrapText="1"/>
    </x:xf>
    <x:xf numFmtId="0" fontId="43" fillId="20" borderId="0" xfId="0" applyNumberFormat="1" applyFont="1" applyFill="1" applyBorder="1" applyAlignment="1">
      <x:alignment vertical="center" wrapText="1"/>
    </x:xf>
    <x:xf numFmtId="0" fontId="40" fillId="25" borderId="0" xfId="0" applyNumberFormat="1" applyFont="1" applyFill="1" applyBorder="1" applyAlignment="1">
      <x:alignment vertical="center" wrapText="1"/>
    </x:xf>
    <x:xf numFmtId="0" fontId="43" fillId="25" borderId="0" xfId="0" applyNumberFormat="1" applyFont="1" applyFill="1" applyBorder="1" applyAlignment="1">
      <x:alignment vertical="center" wrapText="1"/>
    </x:xf>
    <x:xf numFmtId="200" fontId="40" fillId="20" borderId="0" xfId="0" applyNumberFormat="1" applyFont="1" applyFill="1" applyBorder="1" applyAlignment="1">
      <x:alignment vertical="center" wrapText="1"/>
    </x:xf>
    <x:xf numFmtId="200" fontId="40" fillId="25" borderId="0" xfId="0" applyNumberFormat="1" applyFont="1" applyFill="1" applyBorder="1" applyAlignment="1">
      <x:alignment vertical="center" wrapText="1"/>
    </x:xf>
    <x:xf numFmtId="200" fontId="40" fillId="0" borderId="0" xfId="0" applyNumberFormat="1" applyFont="1" applyFill="1" applyBorder="1" applyAlignment="1">
      <x:alignment vertical="center" wrapText="1"/>
    </x:xf>
    <x:xf numFmtId="208" fontId="40" fillId="20" borderId="0" xfId="0" applyNumberFormat="1" applyFont="1" applyFill="1" applyBorder="1" applyAlignment="1">
      <x:alignment vertical="center" wrapText="1"/>
    </x:xf>
    <x:xf numFmtId="208" fontId="40" fillId="25" borderId="0" xfId="0" applyNumberFormat="1" applyFont="1" applyFill="1" applyBorder="1" applyAlignment="1">
      <x:alignment vertical="center" wrapText="1"/>
    </x:xf>
    <x:xf numFmtId="208" fontId="40" fillId="0" borderId="0" xfId="0" applyNumberFormat="1" applyFont="1" applyFill="1" applyBorder="1" applyAlignment="1">
      <x:alignment vertical="center" wrapText="1"/>
    </x:xf>
    <x:xf numFmtId="205" fontId="40" fillId="20" borderId="0" xfId="0" applyNumberFormat="1" applyFont="1" applyFill="1" applyBorder="1" applyAlignment="1">
      <x:alignment vertical="center" wrapText="1"/>
    </x:xf>
    <x:xf numFmtId="205" fontId="40" fillId="25" borderId="0" xfId="0" applyNumberFormat="1" applyFont="1" applyFill="1" applyBorder="1" applyAlignment="1">
      <x:alignment vertical="center" wrapText="1"/>
    </x:xf>
    <x:xf numFmtId="205" fontId="40" fillId="0" borderId="0" xfId="0" applyNumberFormat="1" applyFont="1" applyFill="1" applyBorder="1" applyAlignment="1">
      <x:alignment vertical="center" wrapText="1"/>
    </x:xf>
    <x:xf numFmtId="200" fontId="44" fillId="20" borderId="0" xfId="0" applyNumberFormat="1" applyFont="1" applyFill="1" applyBorder="1" applyAlignment="1">
      <x:alignment vertical="center" wrapText="1"/>
    </x:xf>
    <x:xf numFmtId="0" fontId="44" fillId="20" borderId="0" xfId="0" applyNumberFormat="1" applyFont="1" applyFill="1" applyBorder="1" applyAlignment="1">
      <x:alignment vertical="center" wrapText="1"/>
    </x:xf>
    <x:xf numFmtId="208" fontId="44" fillId="20" borderId="0" xfId="0" applyNumberFormat="1" applyFont="1" applyFill="1" applyBorder="1" applyAlignment="1">
      <x:alignment vertical="center" wrapText="1"/>
    </x:xf>
    <x:xf numFmtId="205" fontId="44" fillId="20" borderId="0" xfId="0" applyNumberFormat="1" applyFont="1" applyFill="1" applyBorder="1" applyAlignment="1">
      <x:alignment vertical="center" wrapText="1"/>
    </x:xf>
    <x:xf numFmtId="200" fontId="44" fillId="25" borderId="0" xfId="0" applyNumberFormat="1" applyFont="1" applyFill="1" applyBorder="1" applyAlignment="1">
      <x:alignment vertical="center" wrapText="1"/>
    </x:xf>
    <x:xf numFmtId="0" fontId="44" fillId="25" borderId="0" xfId="0" applyNumberFormat="1" applyFont="1" applyFill="1" applyBorder="1" applyAlignment="1">
      <x:alignment vertical="center" wrapText="1"/>
    </x:xf>
    <x:xf numFmtId="208" fontId="44" fillId="25" borderId="0" xfId="0" applyNumberFormat="1" applyFont="1" applyFill="1" applyBorder="1" applyAlignment="1">
      <x:alignment vertical="center" wrapText="1"/>
    </x:xf>
    <x:xf numFmtId="205" fontId="44" fillId="25" borderId="0" xfId="0" applyNumberFormat="1" applyFont="1" applyFill="1" applyBorder="1" applyAlignment="1">
      <x:alignment vertical="center" wrapText="1"/>
    </x:xf>
    <x:xf numFmtId="200" fontId="44" fillId="0" borderId="0" xfId="0" applyNumberFormat="1" applyFont="1" applyFill="1" applyBorder="1" applyAlignment="1">
      <x:alignment vertical="center" wrapText="1"/>
    </x:xf>
    <x:xf numFmtId="0" fontId="44" fillId="0" borderId="0" xfId="0" applyNumberFormat="1" applyFont="1" applyFill="1" applyBorder="1" applyAlignment="1">
      <x:alignment vertical="center" wrapText="1"/>
    </x:xf>
    <x:xf numFmtId="208" fontId="44" fillId="0" borderId="0" xfId="0" applyNumberFormat="1" applyFont="1" applyFill="1" applyBorder="1" applyAlignment="1">
      <x:alignment vertical="center" wrapText="1"/>
    </x:xf>
    <x:xf numFmtId="205" fontId="44" fillId="0" borderId="0" xfId="0" applyNumberFormat="1" applyFont="1" applyFill="1" applyBorder="1" applyAlignment="1">
      <x:alignment vertical="center" wrapText="1"/>
    </x:xf>
    <x:xf numFmtId="208" fontId="41" fillId="20" borderId="0" xfId="0" applyNumberFormat="1" applyFont="1" applyFill="1" applyBorder="1" applyAlignment="1">
      <x:alignment vertical="center" wrapText="1"/>
    </x:xf>
    <x:xf numFmtId="208" fontId="41" fillId="25" borderId="0" xfId="0" applyNumberFormat="1" applyFont="1" applyFill="1" applyBorder="1" applyAlignment="1">
      <x:alignment vertical="center" wrapText="1"/>
    </x:xf>
    <x:xf numFmtId="208" fontId="45" fillId="25" borderId="0" xfId="0" applyNumberFormat="1" applyFont="1" applyFill="1" applyBorder="1" applyAlignment="1">
      <x:alignment vertical="center" wrapText="1"/>
    </x:xf>
    <x:xf numFmtId="208" fontId="45" fillId="0" borderId="0" xfId="0" applyNumberFormat="1" applyFont="1" applyFill="1" applyBorder="1" applyAlignment="1">
      <x:alignment vertical="center" wrapText="1"/>
    </x:xf>
    <x:xf numFmtId="0" fontId="40" fillId="26" borderId="0" xfId="0" applyNumberFormat="1" applyFont="1" applyFill="1" applyBorder="1" applyAlignment="1">
      <x:alignment vertical="center" wrapText="1"/>
    </x:xf>
    <x:xf numFmtId="205" fontId="40" fillId="26" borderId="0" xfId="0" applyNumberFormat="1" applyFont="1" applyFill="1" applyBorder="1" applyAlignment="1">
      <x:alignment vertical="center" wrapText="1"/>
    </x:xf>
    <x:xf numFmtId="0" fontId="46" fillId="26" borderId="0" xfId="0" applyNumberFormat="1" applyFont="1" applyFill="1" applyBorder="1" applyAlignment="1">
      <x:alignment vertical="center" wrapText="1"/>
    </x:xf>
    <x:xf numFmtId="205" fontId="46" fillId="26" borderId="0" xfId="0" applyNumberFormat="1" applyFont="1" applyFill="1" applyBorder="1" applyAlignment="1">
      <x:alignment vertical="center" wrapText="1"/>
    </x:xf>
    <x:xf numFmtId="0" fontId="32" fillId="21" borderId="0" xfId="0" applyNumberFormat="1" applyFont="1" applyFill="1" applyBorder="1" applyAlignment="1">
      <x:alignment vertical="center" wrapText="1"/>
    </x:xf>
    <x:xf numFmtId="204" fontId="32" fillId="21" borderId="0" xfId="0" applyNumberFormat="1" applyFont="1" applyFill="1" applyBorder="1" applyAlignment="1">
      <x:alignment vertical="center" wrapText="1"/>
    </x:xf>
    <x:xf numFmtId="205" fontId="32" fillId="21" borderId="0" xfId="0" applyNumberFormat="1" applyFont="1" applyFill="1" applyBorder="1" applyAlignment="1">
      <x:alignment vertical="center" wrapText="1"/>
    </x:xf>
    <x:xf numFmtId="0" fontId="46" fillId="21" borderId="0" xfId="0" applyNumberFormat="1" applyFont="1" applyFill="1" applyBorder="1" applyAlignment="1">
      <x:alignment vertical="center" wrapText="1"/>
    </x:xf>
    <x:xf numFmtId="204" fontId="46" fillId="21" borderId="0" xfId="0" applyNumberFormat="1" applyFont="1" applyFill="1" applyBorder="1" applyAlignment="1">
      <x:alignment vertical="center" wrapText="1"/>
    </x:xf>
    <x:xf numFmtId="205" fontId="46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0b649b557d4678" /><Relationship Type="http://schemas.openxmlformats.org/officeDocument/2006/relationships/theme" Target="/xl/theme/theme1.xml" Id="Rdcd08d1a719b45e5" /><Relationship Type="http://schemas.openxmlformats.org/officeDocument/2006/relationships/sharedStrings" Target="/xl/sharedStrings.xml" Id="R1d29d791107f4bb6" /><Relationship Type="http://schemas.openxmlformats.org/officeDocument/2006/relationships/worksheet" Target="/xl/worksheets/sheet1.xml" Id="R525f3a17e5de456c" /><Relationship Type="http://schemas.openxmlformats.org/officeDocument/2006/relationships/worksheet" Target="/xl/worksheets/sheet2.xml" Id="R9588c63246f94ec9" /><Relationship Type="http://schemas.openxmlformats.org/officeDocument/2006/relationships/worksheet" Target="/xl/worksheets/sheet3.xml" Id="R969a7dde3dbd47c6" /><Relationship Type="http://schemas.openxmlformats.org/officeDocument/2006/relationships/worksheet" Target="/xl/worksheets/sheet4.xml" Id="R6319d1645fd44246" /><Relationship Type="http://schemas.openxmlformats.org/officeDocument/2006/relationships/worksheet" Target="/xl/worksheets/sheet5.xml" Id="Rcf52bab6b8f346d2" /><Relationship Type="http://schemas.openxmlformats.org/officeDocument/2006/relationships/worksheet" Target="/xl/worksheets/sheet6.xml" Id="R7ea028ce22ba4bf6" /><Relationship Type="http://schemas.microsoft.com/office/2017/10/relationships/person" Target="/xl/persons/person.xml" Id="Re6998fdca9424c6c" /></Relationships>
</file>

<file path=xl/persons/person.xml><?xml version="1.0" encoding="utf-8"?>
<xltc:personList xmlns:xltc="http://schemas.microsoft.com/office/spreadsheetml/2018/threadedcomments">
  <xltc:person displayName="User" id="{17E12D24-3728-4897-85D6-1946725A18BE}"/>
  <xltc:person displayName="User" id="{CB30E0A4-D0D0-4FA1-8924-4BEAE0A8865B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5" dT="2026-09-03T06:00:49.179" personId="{17E12D24-3728-4897-85D6-1946725A18BE}" id="{9A614515-8F75-499D-B333-406A5BF6F043}">
    <xltc:text>规格来源：https://help.aliyun.com/zh/ecs/user-guide/overview-of-instance-families；ecs.u1-c1m2.xlarge 为4 vCPU、8 GiB。单价未取得实时询价。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17" dT="2026-09-03T06:00:49.179" personId="{17E12D24-3728-4897-85D6-1946725A18BE}" id="{5F08E81F-6D4E-4582-B020-DBBCA352A482}">
    <xltc:text>来源：https://help.aliyun.com/zh/slb/application-load-balancer/alb-billing-rules；标准版0.147元/小时，即14.70元/百小时。核对日期：2026-09-03。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F33" dT="2026-09-03T06:25:06.047" personId="{CB30E0A4-D0D0-4FA1-8924-4BEAE0A8865B}" id="{6C8DFE44-F155-40A2-8224-6B6DE72ADBDF}">
    <xltc:text>来源：https://help.aliyun.com/zh/live/product-overview/billing-of-co-streaming/；2026-09-03核对中国内地按量目录价。所有在房用户均计费；多路音频不重复算人数。媒体传输已含于ARTC，不再计直播CDN。</xltc:text>
  </xltc:threadedComment>
  <xltc:threadedComment ref="F34" dT="2026-09-03T06:25:06.048" personId="{CB30E0A4-D0D0-4FA1-8924-4BEAE0A8865B}" id="{FD55C3EB-4067-4465-8D76-4D11BD4C2471}">
    <xltc:text>来源：https://help.aliyun.com/zh/live/product-overview/billing-of-co-streaming/；2026-09-03核对中国内地按量目录价。每房一个机器人；机器人订阅通话费与录制处理费是两项，不能漏算。</xltc:text>
  </xltc:threadedComment>
  <xltc:threadedComment ref="F35" dT="2026-09-03T06:25:06.049" personId="{CB30E0A4-D0D0-4FA1-8924-4BEAE0A8865B}" id="{694D099D-D9DE-49B6-90AE-0B99247225E1}">
    <xltc:text>来源：https://help.aliyun.com/zh/live/product-overview/artc-cloud-recording-fee；2026-09-03核对中国内地按量目录价。一房一路合流、单一格式；不是按每个听众录制。OSS存储另列。</xltc:text>
  </xltc:threadedComment>
  <xltc:threadedComment ref="F36" dT="2026-09-03T06:25:06.05" personId="{CB30E0A4-D0D0-4FA1-8924-4BEAE0A8865B}" id="{0292116A-E7C3-4B7A-BE43-F56A6CD616AF}">
    <xltc:text>来源：https://help.aliyun.com/zh/live/product-overview/billing-of-standard-streaming；2026-09-03核对中国内地按量目录价。中国内地首档0–10TB/月，按量原价；码率×累计观看小时×1.1；超过首档需更新阶梯算法。</xltc:text>
  </xltc:threadedComment>
  <xltc:threadedComment ref="F37" dT="2026-09-03T06:25:06.05" personId="{CB30E0A4-D0D0-4FA1-8924-4BEAE0A8865B}" id="{D3B55538-939D-4A31-B7C1-377A5A019700}">
    <xltc:text>来源：https://help.aliyun.com/zh/live/product-overview/billing-of-live-stream-transcoding；2026-09-03核对中国内地按量目录价。按输出流时长收费，与观众人数无关。只算一路，不含窄带高清、1080P或RTS。</xltc:text>
  </xltc:threadedComment>
  <xltc:threadedComment ref="F38" dT="2026-09-03T06:25:06.051" personId="{CB30E0A4-D0D0-4FA1-8924-4BEAE0A8865B}" id="{10237615-A080-4408-BE7F-5C72EB9A87CA}">
    <xltc:text>来源：https://help.aliyun.com/zh/live/product-overview/billing-of-live-stream-recording；2026-09-03核对中国内地按量目录价。按本月录制峰值并发计费，虽按月出账，仍随录制实际使用量变化。</xltc:text>
  </xltc:threadedComment>
  <xltc:threadedComment ref="F39" dT="2026-09-03T06:25:06.052" personId="{CB30E0A4-D0D0-4FA1-8924-4BEAE0A8865B}" id="{16ED4AFA-5B43-4A25-A0B6-6E05756305FA}">
    <xltc:text>来源：https://help.aliyun.com/zh/live/product-overview/billing-of-live-stream-recording；2026-09-03核对中国内地按量目录价。仅一份MP4；不是VOD处理，不追加TS转封装费。存储另列。</xltc:text>
  </xltc:threadedComment>
  <xltc:threadedComment ref="F40" dT="2026-09-03T06:25:06.053" personId="{CB30E0A4-D0D0-4FA1-8924-4BEAE0A8865B}" id="{2B1D5775-2662-4956-87EE-A31484D5A248}">
    <xltc:text>来源：https://help.aliyun.com/zh/oss/storage-fees；沿用原预算单价，未重新核价。音频合流+视频单路文件，按30天稳态保留；不重复原预算100GB对象存储。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f073f3e8b3fc4f34" /><Relationship Type="http://schemas.openxmlformats.org/officeDocument/2006/relationships/vmlDrawing" Target="/xl/drawings/vmldrawing.vml" Id="Rc94f53495f25402a" /><Relationship Type="http://schemas.microsoft.com/office/2017/10/relationships/threadedComment" Target="/xl/threadedcomments/threadedcomment.xml" Id="R5ff5b3d4c4f444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7bfd953c6872414a" /><Relationship Type="http://schemas.openxmlformats.org/officeDocument/2006/relationships/vmlDrawing" Target="/xl/drawings/vmldrawing2.vml" Id="Rb19b2eeff9c548d2" /><Relationship Type="http://schemas.microsoft.com/office/2017/10/relationships/threadedComment" Target="/xl/threadedcomments/threadedcomment2.xml" Id="R1ebe1a9c6e5a4e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3.xml" Id="Rf72ad5f8a4514632" /><Relationship Type="http://schemas.openxmlformats.org/officeDocument/2006/relationships/vmlDrawing" Target="/xl/drawings/vmldrawing3.vml" Id="Rdc6e39b4dbb54505" /><Relationship Type="http://schemas.microsoft.com/office/2017/10/relationships/threadedComment" Target="/xl/threadedcomments/threadedcomment3.xml" Id="R35df5c7f3f3c4a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28" hidden="0" customWidth="1"/>
    <x:col min="5" max="5" width="37" hidden="0" customWidth="1"/>
    <x:col min="6" max="6" width="28" hidden="0" customWidth="1"/>
    <x:col min="7" max="7" width="13" hidden="0" customWidth="1"/>
    <x:col min="8" max="8" width="15" hidden="0" customWidth="1"/>
    <x:col min="9" max="9" width="16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34" customHeight="1">
      <x:c r="A1" s="195" t="str">
        <x:v>新 APP / 小程序 · 阿里云云资源具体价格表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</x:row>
    <x:row r="2" ht="42" customHeight="1">
      <x:c r="A2" s="7" t="str">
        <x:v>固定资源、基础按量、语音房与直播按量分别列示，均计入合价；媒体用量为可修改的预算假设。ECS单价仍为原表×2暂估，未计折扣；内容审核等待询价项目未包含。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2" customHeight="1">
      <x:c r="A3" s="196" t="str">
        <x:v>报价日期</x:v>
      </x:c>
      <x:c r="B3" s="197" t="n">
        <x:v>46268</x:v>
      </x:c>
      <x:c r="C3" s="196" t="str">
        <x:v>部署地域</x:v>
      </x:c>
      <x:c r="D3" s="196" t="str">
        <x:v>华东1（杭州）</x:v>
      </x:c>
      <x:c r="E3" s="196" t="str">
        <x:v>报价币种</x:v>
      </x:c>
      <x:c r="F3" s="196" t="str">
        <x:v>人民币</x:v>
      </x:c>
      <x:c r="G3" s="196" t="str">
        <x:v>部署阶段</x:v>
      </x:c>
      <x:c r="H3" s="196" t="str">
        <x:v>冷启动正式上线</x:v>
      </x:c>
      <x:c r="I3" s="196" t="str">
        <x:v>价格口径</x:v>
      </x:c>
      <x:c r="J3" s="196" t="str">
        <x:v>未折扣原价</x:v>
      </x:c>
      <x:c r="K3" s="196" t="str">
        <x:v>版本</x:v>
      </x:c>
      <x:c r="L3" s="196" t="str">
        <x:v>V3.3</x:v>
      </x:c>
    </x:row>
    <x:row r="4">
      <x:c r="A4" s="198"/>
      <x:c r="B4" s="198"/>
      <x:c r="C4" s="198"/>
      <x:c r="D4" s="198"/>
      <x:c r="E4" s="198"/>
      <x:c r="F4" s="198"/>
      <x:c r="G4" s="198"/>
      <x:c r="H4" s="198"/>
      <x:c r="I4" s="198"/>
      <x:c r="J4" s="198"/>
      <x:c r="K4" s="198"/>
      <x:c r="L4" s="198"/>
    </x:row>
    <x:row r="5" ht="28" customHeight="1">
      <x:c r="A5" s="60" t="str">
        <x:v>固定资源月费</x:v>
      </x:c>
      <x:c r="B5" s="61"/>
      <x:c r="C5" s="62"/>
      <x:c r="D5" s="60" t="str">
        <x:v>全部按量预估 / 月</x:v>
      </x:c>
      <x:c r="E5" s="61"/>
      <x:c r="F5" s="62"/>
      <x:c r="G5" s="95" t="str">
        <x:v>最终预估合价（月）</x:v>
      </x:c>
      <x:c r="H5" s="96"/>
      <x:c r="I5" s="97"/>
      <x:c r="J5" s="95" t="str">
        <x:v>最终预估合价（年）</x:v>
      </x:c>
      <x:c r="K5" s="96"/>
      <x:c r="L5" s="97"/>
    </x:row>
    <x:row r="6" ht="28" customHeight="1">
      <x:c r="A6" s="199" t="n">
        <x:f>J41</x:f>
        <x:v>1292.9333333333332</x:v>
      </x:c>
      <x:c r="B6" s="200"/>
      <x:c r="C6" s="201"/>
      <x:c r="D6" s="199" t="n">
        <x:f>SUM(J42:J43)</x:f>
        <x:v>2565.9998932533263</x:v>
      </x:c>
      <x:c r="E6" s="200"/>
      <x:c r="F6" s="201"/>
      <x:c r="G6" s="202" t="n">
        <x:f>J44</x:f>
        <x:v>3858.93</x:v>
      </x:c>
      <x:c r="H6" s="203"/>
      <x:c r="I6" s="204"/>
      <x:c r="J6" s="202" t="n">
        <x:f>K44</x:f>
        <x:v>46307.2</x:v>
      </x:c>
      <x:c r="K6" s="203"/>
      <x:c r="L6" s="204"/>
    </x:row>
    <x:row r="7" ht="28" customHeight="1">
      <x:c r="A7" s="205"/>
      <x:c r="B7" s="206"/>
      <x:c r="C7" s="207"/>
      <x:c r="D7" s="205"/>
      <x:c r="E7" s="206"/>
      <x:c r="F7" s="207"/>
      <x:c r="G7" s="208"/>
      <x:c r="H7" s="209"/>
      <x:c r="I7" s="210"/>
      <x:c r="J7" s="208"/>
      <x:c r="K7" s="209"/>
      <x:c r="L7" s="210"/>
    </x:row>
    <x:row r="8">
      <x:c r="A8" s="198"/>
      <x:c r="B8" s="198"/>
      <x:c r="C8" s="198"/>
      <x:c r="D8" s="198"/>
      <x:c r="E8" s="198"/>
      <x:c r="F8" s="198"/>
      <x:c r="G8" s="198"/>
      <x:c r="H8" s="198"/>
      <x:c r="I8" s="198"/>
      <x:c r="J8" s="198"/>
      <x:c r="K8" s="198"/>
      <x:c r="L8" s="198"/>
    </x:row>
    <x:row r="9" ht="30" customHeight="1">
      <x:c r="A9" s="275" t="str">
        <x:v>一、固定费用明细（不含按量付费）</x:v>
      </x:c>
      <x:c r="B9" s="275"/>
      <x:c r="C9" s="275"/>
      <x:c r="D9" s="275"/>
      <x:c r="E9" s="275"/>
      <x:c r="F9" s="275"/>
      <x:c r="G9" s="275"/>
      <x:c r="H9" s="275"/>
      <x:c r="I9" s="275"/>
      <x:c r="J9" s="275"/>
      <x:c r="K9" s="275"/>
      <x:c r="L9" s="275"/>
    </x:row>
    <x:row r="10" ht="34" customHeight="1">
      <x:c r="A10" s="277" t="str">
        <x:v>序号</x:v>
      </x:c>
      <x:c r="B10" s="277" t="str">
        <x:v>费用类型</x:v>
      </x:c>
      <x:c r="C10" s="277" t="str">
        <x:v>产品</x:v>
      </x:c>
      <x:c r="D10" s="277" t="str">
        <x:v>具体配置/计费项</x:v>
      </x:c>
      <x:c r="E10" s="277" t="str">
        <x:v>配置或用量说明</x:v>
      </x:c>
      <x:c r="F10" s="277" t="str">
        <x:v>计费方式</x:v>
      </x:c>
      <x:c r="G10" s="277" t="str">
        <x:v>数量/用量</x:v>
      </x:c>
      <x:c r="H10" s="277" t="str">
        <x:v>原价单价</x:v>
      </x:c>
      <x:c r="I10" s="277" t="str">
        <x:v>计价单位</x:v>
      </x:c>
      <x:c r="J10" s="277" t="str">
        <x:v>月金额</x:v>
      </x:c>
      <x:c r="K10" s="277" t="str">
        <x:v>年金额</x:v>
      </x:c>
      <x:c r="L10" s="277" t="str">
        <x:v>官方链接</x:v>
      </x:c>
    </x:row>
    <x:row r="11" ht="50" customHeight="1">
      <x:c r="A11" s="304" t="n">
        <x:v>1</x:v>
      </x:c>
      <x:c r="B11" s="304" t="str">
        <x:v>固定资源</x:v>
      </x:c>
      <x:c r="C11" s="271" t="str">
        <x:f>'固定资源'!B5</x:f>
        <x:v>ECS云服务器</x:v>
      </x:c>
      <x:c r="D11" s="271" t="str">
        <x:f>'固定资源'!C5</x:f>
        <x:v>ecs.u1-c1m2.xlarge</x:v>
      </x:c>
      <x:c r="E11" s="271" t="str">
        <x:f>'固定资源'!D5</x:f>
        <x:v>通用算力型 u1；4 vCPU；8 GiB；Linux；3台</x:v>
      </x:c>
      <x:c r="F11" s="271" t="str">
        <x:f>'固定资源'!E5</x:f>
        <x:v>包年包月目录价（按月测算）</x:v>
      </x:c>
      <x:c r="G11" s="273" t="n">
        <x:f>'固定资源'!F5</x:f>
        <x:v>3</x:v>
      </x:c>
      <x:c r="H11" s="272" t="n">
        <x:f>'固定资源'!G5</x:f>
        <x:v>337.2</x:v>
      </x:c>
      <x:c r="I11" s="272" t="str">
        <x:f>'固定资源'!H5</x:f>
        <x:v>元/台·月</x:v>
      </x:c>
      <x:c r="J11" s="272" t="n">
        <x:f>'固定资源'!I5</x:f>
        <x:v>1011.5999999999999</x:v>
      </x:c>
      <x:c r="K11" s="272" t="n">
        <x:f>'固定资源'!J5</x:f>
        <x:v>12139.199999999999</x:v>
      </x:c>
      <x:c r="L11" s="305" t="str">
        <x:f>'固定资源'!K5</x:f>
        <x:v>https://ecs-buy.aliyun.com/price</x:v>
      </x:c>
    </x:row>
    <x:row r="12" ht="50" customHeight="1">
      <x:c r="A12" s="304" t="n">
        <x:v>2</x:v>
      </x:c>
      <x:c r="B12" s="304" t="str">
        <x:v>固定资源</x:v>
      </x:c>
      <x:c r="C12" s="271" t="str">
        <x:f>'固定资源'!B6</x:f>
        <x:v>ECS系统盘</x:v>
      </x:c>
      <x:c r="D12" s="271" t="str">
        <x:f>'固定资源'!C6</x:f>
        <x:v>ESSD Entry</x:v>
      </x:c>
      <x:c r="E12" s="271" t="str">
        <x:f>'固定资源'!D6</x:f>
        <x:v>每台100 GiB；3台合计300 GiB</x:v>
      </x:c>
      <x:c r="F12" s="271" t="str">
        <x:f>'固定资源'!E6</x:f>
        <x:v>包年包月目录价（按容量）</x:v>
      </x:c>
      <x:c r="G12" s="273" t="n">
        <x:f>'固定资源'!F6</x:f>
        <x:v>300</x:v>
      </x:c>
      <x:c r="H12" s="272" t="n">
        <x:f>'固定资源'!G6</x:f>
        <x:v>0.2</x:v>
      </x:c>
      <x:c r="I12" s="272" t="str">
        <x:f>'固定资源'!H6</x:f>
        <x:v>元/GiB·月</x:v>
      </x:c>
      <x:c r="J12" s="272" t="n">
        <x:f>'固定资源'!I6</x:f>
        <x:v>60</x:v>
      </x:c>
      <x:c r="K12" s="272" t="n">
        <x:f>'固定资源'!J6</x:f>
        <x:v>720</x:v>
      </x:c>
      <x:c r="L12" s="305" t="str">
        <x:f>'固定资源'!K6</x:f>
        <x:v>https://help.aliyun.com/zh/ecs/user-guide/elastic-block-storage-devices</x:v>
      </x:c>
    </x:row>
    <x:row r="13" ht="50" customHeight="1">
      <x:c r="A13" s="304" t="n">
        <x:v>3</x:v>
      </x:c>
      <x:c r="B13" s="304" t="str">
        <x:v>固定资源</x:v>
      </x:c>
      <x:c r="C13" s="271" t="str">
        <x:f>'固定资源'!B7</x:f>
        <x:v>ALB公网带宽</x:v>
      </x:c>
      <x:c r="D13" s="271" t="str">
        <x:f>'固定资源'!C7</x:f>
        <x:v>固定带宽</x:v>
      </x:c>
      <x:c r="E13" s="271" t="str">
        <x:f>'固定资源'!D7</x:f>
        <x:v>中国内地；5 Mbps；绑定公网ALB</x:v>
      </x:c>
      <x:c r="F13" s="271" t="str">
        <x:f>'固定资源'!E7</x:f>
        <x:v>固定带宽目录价（按月测算）</x:v>
      </x:c>
      <x:c r="G13" s="273" t="n">
        <x:f>'固定资源'!F7</x:f>
        <x:v>1</x:v>
      </x:c>
      <x:c r="H13" s="272" t="n">
        <x:f>'固定资源'!G7</x:f>
        <x:v>125</x:v>
      </x:c>
      <x:c r="I13" s="272" t="str">
        <x:f>'固定资源'!H7</x:f>
        <x:v>元/月</x:v>
      </x:c>
      <x:c r="J13" s="272" t="n">
        <x:f>'固定资源'!I7</x:f>
        <x:v>125</x:v>
      </x:c>
      <x:c r="K13" s="272" t="n">
        <x:f>'固定资源'!J7</x:f>
        <x:v>1500</x:v>
      </x:c>
      <x:c r="L13" s="305" t="str">
        <x:f>'固定资源'!K7</x:f>
        <x:v>https://help.aliyun.com/zh/ecs/user-guide/billing-for-public-bandwidth</x:v>
      </x:c>
    </x:row>
    <x:row r="14" ht="50" customHeight="1">
      <x:c r="A14" s="304" t="n">
        <x:v>4</x:v>
      </x:c>
      <x:c r="B14" s="304" t="str">
        <x:v>固定资源</x:v>
      </x:c>
      <x:c r="C14" s="271" t="str">
        <x:f>'固定资源'!B8</x:f>
        <x:v>RDS MySQL计算</x:v>
      </x:c>
      <x:c r="D14" s="271" t="str">
        <x:f>'固定资源'!C8</x:f>
        <x:v>mysql.n2e.medium.1（倚天版）</x:v>
      </x:c>
      <x:c r="E14" s="271" t="str">
        <x:f>'固定资源'!D8</x:f>
        <x:v>MySQL 8.0；基础系列；通用型；2核4GB；单节点</x:v>
      </x:c>
      <x:c r="F14" s="271" t="str">
        <x:f>'固定资源'!E8</x:f>
        <x:v>包年包月目录价（按月测算）</x:v>
      </x:c>
      <x:c r="G14" s="273" t="n">
        <x:f>'固定资源'!F8</x:f>
        <x:v>1</x:v>
      </x:c>
      <x:c r="H14" s="272" t="n">
        <x:f>'固定资源'!G8</x:f>
        <x:v>68</x:v>
      </x:c>
      <x:c r="I14" s="272" t="str">
        <x:f>'固定资源'!H8</x:f>
        <x:v>元/实例·月</x:v>
      </x:c>
      <x:c r="J14" s="272" t="n">
        <x:f>'固定资源'!I8</x:f>
        <x:v>68</x:v>
      </x:c>
      <x:c r="K14" s="272" t="n">
        <x:f>'固定资源'!J8</x:f>
        <x:v>816</x:v>
      </x:c>
      <x:c r="L14" s="305" t="str">
        <x:f>'固定资源'!K8</x:f>
        <x:v>https://www.aliyun.com/price/product#/rds/detail</x:v>
      </x:c>
    </x:row>
    <x:row r="15" ht="50" customHeight="1">
      <x:c r="A15" s="304" t="n">
        <x:v>5</x:v>
      </x:c>
      <x:c r="B15" s="304" t="str">
        <x:v>固定资源</x:v>
      </x:c>
      <x:c r="C15" s="271" t="str">
        <x:f>'固定资源'!B9</x:f>
        <x:v>RDS MySQL存储</x:v>
      </x:c>
      <x:c r="D15" s="271" t="str">
        <x:f>'固定资源'!C9</x:f>
        <x:v>ESSD PL0云盘</x:v>
      </x:c>
      <x:c r="E15" s="271" t="str">
        <x:f>'固定资源'!D9</x:f>
        <x:v>50 GiB；与上述RDS实例同地域</x:v>
      </x:c>
      <x:c r="F15" s="271" t="str">
        <x:f>'固定资源'!E9</x:f>
        <x:v>包年包月目录价（按容量）</x:v>
      </x:c>
      <x:c r="G15" s="273" t="n">
        <x:f>'固定资源'!F9</x:f>
        <x:v>50</x:v>
      </x:c>
      <x:c r="H15" s="272" t="n">
        <x:f>'固定资源'!G9</x:f>
        <x:v>0.4</x:v>
      </x:c>
      <x:c r="I15" s="272" t="str">
        <x:f>'固定资源'!H9</x:f>
        <x:v>元/GiB·月</x:v>
      </x:c>
      <x:c r="J15" s="272" t="n">
        <x:f>'固定资源'!I9</x:f>
        <x:v>20</x:v>
      </x:c>
      <x:c r="K15" s="272" t="n">
        <x:f>'固定资源'!J9</x:f>
        <x:v>240</x:v>
      </x:c>
      <x:c r="L15" s="305" t="str">
        <x:f>'固定资源'!K9</x:f>
        <x:v>https://www.aliyun.com/price/product#/rds/detail</x:v>
      </x:c>
    </x:row>
    <x:row r="16" ht="50" customHeight="1">
      <x:c r="A16" s="304" t="n">
        <x:v>6</x:v>
      </x:c>
      <x:c r="B16" s="304" t="str">
        <x:v>固定资源</x:v>
      </x:c>
      <x:c r="C16" s="271" t="str">
        <x:f>'固定资源'!B10</x:f>
        <x:v>Redis</x:v>
      </x:c>
      <x:c r="D16" s="271" t="str">
        <x:f>'固定资源'!C10</x:f>
        <x:v>ECS内自建 Redis</x:v>
      </x:c>
      <x:c r="E16" s="271" t="str">
        <x:f>'固定资源'!D10</x:f>
        <x:v>部署在ECS-1；三台应用节点通过内网共享访问</x:v>
      </x:c>
      <x:c r="F16" s="271" t="str">
        <x:f>'固定资源'!E10</x:f>
        <x:v>不单独购云资源</x:v>
      </x:c>
      <x:c r="G16" s="273" t="n">
        <x:f>'固定资源'!F10</x:f>
        <x:v>1</x:v>
      </x:c>
      <x:c r="H16" s="272" t="n">
        <x:f>'固定资源'!G10</x:f>
        <x:v>0</x:v>
      </x:c>
      <x:c r="I16" s="272" t="str">
        <x:f>'固定资源'!H10</x:f>
        <x:v>元/月</x:v>
      </x:c>
      <x:c r="J16" s="272" t="n">
        <x:f>'固定资源'!I10</x:f>
        <x:v>0</x:v>
      </x:c>
      <x:c r="K16" s="272" t="n">
        <x:f>'固定资源'!J10</x:f>
        <x:v>0</x:v>
      </x:c>
      <x:c r="L16" s="305" t="str"/>
    </x:row>
    <x:row r="17" ht="50" customHeight="1">
      <x:c r="A17" s="304" t="n">
        <x:v>7</x:v>
      </x:c>
      <x:c r="B17" s="304" t="str">
        <x:v>固定资源</x:v>
      </x:c>
      <x:c r="C17" s="271" t="str">
        <x:f>'固定资源'!B11</x:f>
        <x:v>域名</x:v>
      </x:c>
      <x:c r="D17" s="271" t="str">
        <x:f>'固定资源'!C11</x:f>
        <x:v>.com/.cn 预算项</x:v>
      </x:c>
      <x:c r="E17" s="271" t="str">
        <x:f>'固定资源'!D11</x:f>
        <x:v>1个域名；实际后缀待定</x:v>
      </x:c>
      <x:c r="F17" s="271" t="str">
        <x:f>'固定资源'!E11</x:f>
        <x:v>按年购买（月度摊销）</x:v>
      </x:c>
      <x:c r="G17" s="273" t="n">
        <x:f>'固定资源'!F11</x:f>
        <x:v>1</x:v>
      </x:c>
      <x:c r="H17" s="272" t="n">
        <x:f>'固定资源'!G11</x:f>
        <x:v>100</x:v>
      </x:c>
      <x:c r="I17" s="272" t="str">
        <x:f>'固定资源'!H11</x:f>
        <x:v>元/个·年</x:v>
      </x:c>
      <x:c r="J17" s="272" t="n">
        <x:f>'固定资源'!I11</x:f>
        <x:v>8.333333333333334</x:v>
      </x:c>
      <x:c r="K17" s="272" t="n">
        <x:f>'固定资源'!J11</x:f>
        <x:v>100</x:v>
      </x:c>
      <x:c r="L17" s="305" t="str">
        <x:f>'固定资源'!K11</x:f>
        <x:v>https://wanwang.aliyun.com/domain/price</x:v>
      </x:c>
    </x:row>
    <x:row r="18" ht="50" customHeight="1">
      <x:c r="A18" s="304" t="n">
        <x:v>8</x:v>
      </x:c>
      <x:c r="B18" s="304" t="str">
        <x:v>固定资源</x:v>
      </x:c>
      <x:c r="C18" s="271" t="str">
        <x:f>'固定资源'!B12</x:f>
        <x:v>SSL证书</x:v>
      </x:c>
      <x:c r="D18" s="271" t="str">
        <x:f>'固定资源'!C12</x:f>
        <x:v>免费DV证书</x:v>
      </x:c>
      <x:c r="E18" s="271" t="str">
        <x:f>'固定资源'!D12</x:f>
        <x:v>HTTPS基础证书</x:v>
      </x:c>
      <x:c r="F18" s="271" t="str">
        <x:f>'固定资源'!E12</x:f>
        <x:v>免费</x:v>
      </x:c>
      <x:c r="G18" s="273" t="n">
        <x:f>'固定资源'!F12</x:f>
        <x:v>1</x:v>
      </x:c>
      <x:c r="H18" s="272" t="n">
        <x:f>'固定资源'!G12</x:f>
        <x:v>0</x:v>
      </x:c>
      <x:c r="I18" s="272" t="str">
        <x:f>'固定资源'!H12</x:f>
        <x:v>元/年</x:v>
      </x:c>
      <x:c r="J18" s="272" t="n">
        <x:f>'固定资源'!I12</x:f>
        <x:v>0</x:v>
      </x:c>
      <x:c r="K18" s="272" t="n">
        <x:f>'固定资源'!J12</x:f>
        <x:v>0</x:v>
      </x:c>
      <x:c r="L18" s="305" t="str">
        <x:f>'固定资源'!K12</x:f>
        <x:v>https://www.aliyun.com/product/cas</x:v>
      </x:c>
    </x:row>
    <x:row r="19" ht="50" customHeight="1">
      <x:c r="A19" s="304" t="n">
        <x:v>9</x:v>
      </x:c>
      <x:c r="B19" s="304" t="str">
        <x:v>固定资源</x:v>
      </x:c>
      <x:c r="C19" s="271" t="str">
        <x:f>'固定资源'!B13</x:f>
        <x:v>云监控</x:v>
      </x:c>
      <x:c r="D19" s="271" t="str">
        <x:f>'固定资源'!C13</x:f>
        <x:v>基础云监控</x:v>
      </x:c>
      <x:c r="E19" s="271" t="str">
        <x:f>'固定资源'!D13</x:f>
        <x:v>ECS/RDS/ALB基础指标与告警</x:v>
      </x:c>
      <x:c r="F19" s="271" t="str">
        <x:f>'固定资源'!E13</x:f>
        <x:v>免费基础版</x:v>
      </x:c>
      <x:c r="G19" s="273" t="n">
        <x:f>'固定资源'!F13</x:f>
        <x:v>1</x:v>
      </x:c>
      <x:c r="H19" s="272" t="n">
        <x:f>'固定资源'!G13</x:f>
        <x:v>0</x:v>
      </x:c>
      <x:c r="I19" s="272" t="str">
        <x:f>'固定资源'!H13</x:f>
        <x:v>元/月</x:v>
      </x:c>
      <x:c r="J19" s="272" t="n">
        <x:f>'固定资源'!I13</x:f>
        <x:v>0</x:v>
      </x:c>
      <x:c r="K19" s="272" t="n">
        <x:f>'固定资源'!J13</x:f>
        <x:v>0</x:v>
      </x:c>
      <x:c r="L19" s="305" t="str">
        <x:f>'固定资源'!K13</x:f>
        <x:v>https://www.aliyun.com/product/jiankong</x:v>
      </x:c>
    </x:row>
    <x:row r="20" ht="30" customHeight="1">
      <x:c r="A20" s="281" t="str">
        <x:v>固定费用小计</x:v>
      </x:c>
      <x:c r="B20" s="281"/>
      <x:c r="C20" s="281"/>
      <x:c r="D20" s="281"/>
      <x:c r="E20" s="281"/>
      <x:c r="F20" s="281"/>
      <x:c r="G20" s="282"/>
      <x:c r="H20" s="283"/>
      <x:c r="I20" s="283"/>
      <x:c r="J20" s="283" t="n">
        <x:f>'固定资源'!I15</x:f>
        <x:v>1292.9333333333332</x:v>
      </x:c>
      <x:c r="K20" s="283" t="n">
        <x:f>'固定资源'!J15</x:f>
        <x:v>15515.199999999999</x:v>
      </x:c>
      <x:c r="L20" s="306"/>
    </x:row>
    <x:row r="21" ht="12" customHeight="1">
      <x:c r="A21" s="271"/>
      <x:c r="B21" s="271"/>
      <x:c r="C21" s="271"/>
      <x:c r="D21" s="271"/>
      <x:c r="E21" s="271"/>
      <x:c r="F21" s="271"/>
      <x:c r="G21" s="273"/>
      <x:c r="H21" s="272"/>
      <x:c r="I21" s="272"/>
      <x:c r="J21" s="272"/>
      <x:c r="K21" s="272"/>
      <x:c r="L21" s="305"/>
    </x:row>
    <x:row r="22" ht="30" customHeight="1">
      <x:c r="A22" s="287" t="str">
        <x:v>二、基础按量预估费用（语音房与直播另见独立工作表）</x:v>
      </x:c>
      <x:c r="B22" s="287"/>
      <x:c r="C22" s="287"/>
      <x:c r="D22" s="287"/>
      <x:c r="E22" s="287"/>
      <x:c r="F22" s="287"/>
      <x:c r="G22" s="288"/>
      <x:c r="H22" s="289"/>
      <x:c r="I22" s="289"/>
      <x:c r="J22" s="289"/>
      <x:c r="K22" s="289"/>
      <x:c r="L22" s="307"/>
    </x:row>
    <x:row r="23" ht="34" customHeight="1">
      <x:c r="A23" s="277" t="str">
        <x:v>序号</x:v>
      </x:c>
      <x:c r="B23" s="277" t="str">
        <x:v>费用类型</x:v>
      </x:c>
      <x:c r="C23" s="277" t="str">
        <x:v>产品</x:v>
      </x:c>
      <x:c r="D23" s="277" t="str">
        <x:v>具体配置/计费项</x:v>
      </x:c>
      <x:c r="E23" s="277" t="str">
        <x:v>配置或用量说明</x:v>
      </x:c>
      <x:c r="F23" s="277" t="str">
        <x:v>计费方式</x:v>
      </x:c>
      <x:c r="G23" s="292" t="str">
        <x:v>预计月用量</x:v>
      </x:c>
      <x:c r="H23" s="293" t="str">
        <x:v>原价单价</x:v>
      </x:c>
      <x:c r="I23" s="293" t="str">
        <x:v>计价单位</x:v>
      </x:c>
      <x:c r="J23" s="293" t="str">
        <x:v>预估月金额</x:v>
      </x:c>
      <x:c r="K23" s="293" t="str">
        <x:v>预估年金额</x:v>
      </x:c>
      <x:c r="L23" s="308" t="str">
        <x:v>官方链接</x:v>
      </x:c>
    </x:row>
    <x:row r="24" ht="58" customHeight="1">
      <x:c r="A24" s="295" t="n">
        <x:v>1</x:v>
      </x:c>
      <x:c r="B24" s="295" t="str">
        <x:v>按量预估</x:v>
      </x:c>
      <x:c r="C24" s="271" t="str">
        <x:f>'按量计费'!B5</x:f>
        <x:v>应用型负载均衡ALB</x:v>
      </x:c>
      <x:c r="D24" s="271" t="str">
        <x:f>'按量计费'!C5</x:f>
        <x:v>性能容量单位LCU</x:v>
      </x:c>
      <x:c r="E24" s="271" t="str">
        <x:f>'按量计费'!M5</x:f>
        <x:v>未折扣原价4.90元/百LCU·小时；按冷启动平均0.10 LCU换算</x:v>
      </x:c>
      <x:c r="F24" s="271" t="str">
        <x:f>'按量计费'!D5</x:f>
        <x:v>按量计费（按实际LCU用量）</x:v>
      </x:c>
      <x:c r="G24" s="294" t="n">
        <x:f>'按量计费'!E5</x:f>
        <x:v>0.72</x:v>
      </x:c>
      <x:c r="H24" s="272" t="n">
        <x:f>'按量计费'!G5</x:f>
        <x:v>4.9</x:v>
      </x:c>
      <x:c r="I24" s="272" t="str">
        <x:f>'按量计费'!H5</x:f>
        <x:v>元/百LCU·小时</x:v>
      </x:c>
      <x:c r="J24" s="272" t="n">
        <x:f>'按量计费'!I5</x:f>
        <x:v>3.528</x:v>
      </x:c>
      <x:c r="K24" s="272" t="n">
        <x:f>'按量计费'!J5</x:f>
        <x:v>42.336</x:v>
      </x:c>
      <x:c r="L24" s="305" t="str">
        <x:f>'按量计费'!L5</x:f>
        <x:v>https://help.aliyun.com/zh/slb/application-load-balancer/alb-billing-rules</x:v>
      </x:c>
    </x:row>
    <x:row r="25" ht="58" customHeight="1">
      <x:c r="A25" s="295" t="n">
        <x:v>2</x:v>
      </x:c>
      <x:c r="B25" s="295" t="str">
        <x:v>按量预估</x:v>
      </x:c>
      <x:c r="C25" s="271" t="str">
        <x:f>'按量计费'!B6</x:f>
        <x:v>OSS</x:v>
      </x:c>
      <x:c r="D25" s="271" t="str">
        <x:f>'按量计费'!C6</x:f>
        <x:v>标准存储（本地冗余）</x:v>
      </x:c>
      <x:c r="E25" s="271" t="str">
        <x:f>'按量计费'!M6</x:f>
        <x:v>头像、聊天图片、报告和商品图片；初期平均占用100GB</x:v>
      </x:c>
      <x:c r="F25" s="271" t="str">
        <x:f>'按量计费'!D6</x:f>
        <x:v>按量计费（按实际GB·月）</x:v>
      </x:c>
      <x:c r="G25" s="294" t="n">
        <x:f>'按量计费'!E6</x:f>
        <x:v>100</x:v>
      </x:c>
      <x:c r="H25" s="272" t="n">
        <x:f>'按量计费'!G6</x:f>
        <x:v>0.12</x:v>
      </x:c>
      <x:c r="I25" s="272" t="str">
        <x:f>'按量计费'!H6</x:f>
        <x:v>元/GB·月</x:v>
      </x:c>
      <x:c r="J25" s="272" t="n">
        <x:f>'按量计费'!I6</x:f>
        <x:v>12</x:v>
      </x:c>
      <x:c r="K25" s="272" t="n">
        <x:f>'按量计费'!J6</x:f>
        <x:v>144</x:v>
      </x:c>
      <x:c r="L25" s="305" t="str">
        <x:f>'按量计费'!L6</x:f>
        <x:v>https://help.aliyun.com/zh/oss/storage-fees</x:v>
      </x:c>
    </x:row>
    <x:row r="26" ht="58" customHeight="1">
      <x:c r="A26" s="295" t="n">
        <x:v>3</x:v>
      </x:c>
      <x:c r="B26" s="295" t="str">
        <x:v>按量预估</x:v>
      </x:c>
      <x:c r="C26" s="271" t="str">
        <x:f>'按量计费'!B7</x:f>
        <x:v>CDN</x:v>
      </x:c>
      <x:c r="D26" s="271" t="str">
        <x:f>'按量计费'!C7</x:f>
        <x:v>中国内地下行流量 0-10TB档</x:v>
      </x:c>
      <x:c r="E26" s="271" t="str">
        <x:f>'按量计费'!M7</x:f>
        <x:v>前期每月200GB；流量超过阶梯后单价变化</x:v>
      </x:c>
      <x:c r="F26" s="271" t="str">
        <x:f>'按量计费'!D7</x:f>
        <x:v>按量计费（按实际下行GB）</x:v>
      </x:c>
      <x:c r="G26" s="294" t="n">
        <x:f>'按量计费'!E7</x:f>
        <x:v>200</x:v>
      </x:c>
      <x:c r="H26" s="272" t="n">
        <x:f>'按量计费'!G7</x:f>
        <x:v>0.24</x:v>
      </x:c>
      <x:c r="I26" s="272" t="str">
        <x:f>'按量计费'!H7</x:f>
        <x:v>元/GB</x:v>
      </x:c>
      <x:c r="J26" s="272" t="n">
        <x:f>'按量计费'!I7</x:f>
        <x:v>48</x:v>
      </x:c>
      <x:c r="K26" s="272" t="n">
        <x:f>'按量计费'!J7</x:f>
        <x:v>576</x:v>
      </x:c>
      <x:c r="L26" s="305" t="str">
        <x:f>'按量计费'!L7</x:f>
        <x:v>https://help.aliyun.com/zh/cdn/product-overview/billing-rules-of-basic-services</x:v>
      </x:c>
    </x:row>
    <x:row r="27" ht="58" customHeight="1">
      <x:c r="A27" s="295" t="n">
        <x:v>4</x:v>
      </x:c>
      <x:c r="B27" s="295" t="str">
        <x:v>按量预估</x:v>
      </x:c>
      <x:c r="C27" s="271" t="str">
        <x:f>'按量计费'!B8</x:f>
        <x:v>OSS</x:v>
      </x:c>
      <x:c r="D27" s="271" t="str">
        <x:f>'按量计费'!C8</x:f>
        <x:v>CDN回源流出流量</x:v>
      </x:c>
      <x:c r="E27" s="271" t="str">
        <x:f>'按量计费'!M8</x:f>
        <x:v>假设CDN回源40GB/月；命中率越高则越低</x:v>
      </x:c>
      <x:c r="F27" s="271" t="str">
        <x:f>'按量计费'!D8</x:f>
        <x:v>按量计费（按实际回源GB）</x:v>
      </x:c>
      <x:c r="G27" s="294" t="n">
        <x:f>'按量计费'!E8</x:f>
        <x:v>40</x:v>
      </x:c>
      <x:c r="H27" s="272" t="n">
        <x:f>'按量计费'!G8</x:f>
        <x:v>0.15</x:v>
      </x:c>
      <x:c r="I27" s="272" t="str">
        <x:f>'按量计费'!H8</x:f>
        <x:v>元/GB</x:v>
      </x:c>
      <x:c r="J27" s="272" t="n">
        <x:f>'按量计费'!I8</x:f>
        <x:v>6</x:v>
      </x:c>
      <x:c r="K27" s="272" t="n">
        <x:f>'按量计费'!J8</x:f>
        <x:v>72</x:v>
      </x:c>
      <x:c r="L27" s="305" t="str">
        <x:f>'按量计费'!L8</x:f>
        <x:v>https://help.aliyun.com/zh/oss/billing-examples</x:v>
      </x:c>
    </x:row>
    <x:row r="28" ht="58" customHeight="1">
      <x:c r="A28" s="295" t="n">
        <x:v>5</x:v>
      </x:c>
      <x:c r="B28" s="295" t="str">
        <x:v>按量预估</x:v>
      </x:c>
      <x:c r="C28" s="271" t="str">
        <x:f>'按量计费'!B9</x:f>
        <x:v>OSS</x:v>
      </x:c>
      <x:c r="D28" s="271" t="str">
        <x:f>'按量计费'!C9</x:f>
        <x:v>GET类请求</x:v>
      </x:c>
      <x:c r="E28" s="271" t="str">
        <x:f>'按量计费'!M9</x:f>
        <x:v>假设100万次GET/月</x:v>
      </x:c>
      <x:c r="F28" s="271" t="str">
        <x:f>'按量计费'!D9</x:f>
        <x:v>按量计费（按实际请求次数）</x:v>
      </x:c>
      <x:c r="G28" s="294" t="n">
        <x:f>'按量计费'!E9</x:f>
        <x:v>100</x:v>
      </x:c>
      <x:c r="H28" s="272" t="n">
        <x:f>'按量计费'!G9</x:f>
        <x:v>0.01</x:v>
      </x:c>
      <x:c r="I28" s="272" t="str">
        <x:f>'按量计费'!H9</x:f>
        <x:v>元/万次</x:v>
      </x:c>
      <x:c r="J28" s="272" t="n">
        <x:f>'按量计费'!I9</x:f>
        <x:v>1</x:v>
      </x:c>
      <x:c r="K28" s="272" t="n">
        <x:f>'按量计费'!J9</x:f>
        <x:v>12</x:v>
      </x:c>
      <x:c r="L28" s="305" t="str">
        <x:f>'按量计费'!L9</x:f>
        <x:v>https://help.aliyun.com/zh/oss/billing-examples</x:v>
      </x:c>
    </x:row>
    <x:row r="29" ht="58" customHeight="1">
      <x:c r="A29" s="295" t="n">
        <x:v>6</x:v>
      </x:c>
      <x:c r="B29" s="295" t="str">
        <x:v>按量预估</x:v>
      </x:c>
      <x:c r="C29" s="271" t="str">
        <x:f>'按量计费'!B10</x:f>
        <x:v>短信服务</x:v>
      </x:c>
      <x:c r="D29" s="271" t="str">
        <x:f>'按量计费'!C10</x:f>
        <x:v>验证码/通知短信 ≤10万条/月</x:v>
      </x:c>
      <x:c r="E29" s="271" t="str">
        <x:f>'按量计费'!M10</x:f>
        <x:v>未折扣原价4.50元/百条；长短信可能拆分计费</x:v>
      </x:c>
      <x:c r="F29" s="271" t="str">
        <x:f>'按量计费'!D10</x:f>
        <x:v>按量计费（按实际成功发送条数）</x:v>
      </x:c>
      <x:c r="G29" s="294" t="n">
        <x:f>'按量计费'!E10</x:f>
        <x:v>20</x:v>
      </x:c>
      <x:c r="H29" s="272" t="n">
        <x:f>'按量计费'!G10</x:f>
        <x:v>4.5</x:v>
      </x:c>
      <x:c r="I29" s="272" t="str">
        <x:f>'按量计费'!H10</x:f>
        <x:v>元/百条</x:v>
      </x:c>
      <x:c r="J29" s="272" t="n">
        <x:f>'按量计费'!I10</x:f>
        <x:v>90</x:v>
      </x:c>
      <x:c r="K29" s="272" t="n">
        <x:f>'按量计费'!J10</x:f>
        <x:v>1080</x:v>
      </x:c>
      <x:c r="L29" s="305" t="str">
        <x:f>'按量计费'!L10</x:f>
        <x:v>https://help.aliyun.com/zh/sms/product-overview/billing-of-messages-sent-to-chinese-mainland</x:v>
      </x:c>
    </x:row>
    <x:row r="30" ht="58" customHeight="1">
      <x:c r="A30" s="295" t="n">
        <x:v>7</x:v>
      </x:c>
      <x:c r="B30" s="295" t="str">
        <x:v>按量预估</x:v>
      </x:c>
      <x:c r="C30" s="271" t="str">
        <x:f>'按量计费'!B11</x:f>
        <x:v>阿里云百炼</x:v>
      </x:c>
      <x:c r="D30" s="271" t="str">
        <x:f>'按量计费'!C11</x:f>
        <x:v>qwen3.7-plus 输入Token（≤256K档）</x:v>
      </x:c>
      <x:c r="E30" s="271" t="str">
        <x:f>'按量计费'!M11</x:f>
        <x:v>按原价，不计页面限时折扣；约1万次×2,500输入Token</x:v>
      </x:c>
      <x:c r="F30" s="271" t="str">
        <x:f>'按量计费'!D11</x:f>
        <x:v>按量计费（按实际输入Token）</x:v>
      </x:c>
      <x:c r="G30" s="294" t="n">
        <x:f>'按量计费'!E11</x:f>
        <x:v>25</x:v>
      </x:c>
      <x:c r="H30" s="272" t="n">
        <x:f>'按量计费'!G11</x:f>
        <x:v>2</x:v>
      </x:c>
      <x:c r="I30" s="272" t="str">
        <x:f>'按量计费'!H11</x:f>
        <x:v>元/百万Token</x:v>
      </x:c>
      <x:c r="J30" s="272" t="n">
        <x:f>'按量计费'!I11</x:f>
        <x:v>50</x:v>
      </x:c>
      <x:c r="K30" s="272" t="n">
        <x:f>'按量计费'!J11</x:f>
        <x:v>600</x:v>
      </x:c>
      <x:c r="L30" s="305" t="str">
        <x:f>'按量计费'!L11</x:f>
        <x:v>https://help.aliyun.com/zh/model-studio/model-pricing</x:v>
      </x:c>
    </x:row>
    <x:row r="31" ht="58" customHeight="1">
      <x:c r="A31" s="295" t="n">
        <x:v>8</x:v>
      </x:c>
      <x:c r="B31" s="295" t="str">
        <x:v>按量预估</x:v>
      </x:c>
      <x:c r="C31" s="271" t="str">
        <x:f>'按量计费'!B12</x:f>
        <x:v>阿里云百炼</x:v>
      </x:c>
      <x:c r="D31" s="271" t="str">
        <x:f>'按量计费'!C12</x:f>
        <x:v>qwen3.7-plus 输出Token（≤256K档）</x:v>
      </x:c>
      <x:c r="E31" s="271" t="str">
        <x:f>'按量计费'!M12</x:f>
        <x:v>按原价，不计页面限时折扣；约1万次×1,000输出Token</x:v>
      </x:c>
      <x:c r="F31" s="271" t="str">
        <x:f>'按量计费'!D12</x:f>
        <x:v>按量计费（按实际输出Token）</x:v>
      </x:c>
      <x:c r="G31" s="294" t="n">
        <x:f>'按量计费'!E12</x:f>
        <x:v>10</x:v>
      </x:c>
      <x:c r="H31" s="272" t="n">
        <x:f>'按量计费'!G12</x:f>
        <x:v>8</x:v>
      </x:c>
      <x:c r="I31" s="272" t="str">
        <x:f>'按量计费'!H12</x:f>
        <x:v>元/百万Token</x:v>
      </x:c>
      <x:c r="J31" s="272" t="n">
        <x:f>'按量计费'!I12</x:f>
        <x:v>80</x:v>
      </x:c>
      <x:c r="K31" s="272" t="n">
        <x:f>'按量计费'!J12</x:f>
        <x:v>960</x:v>
      </x:c>
      <x:c r="L31" s="305" t="str">
        <x:f>'按量计费'!L12</x:f>
        <x:v>https://help.aliyun.com/zh/model-studio/model-pricing</x:v>
      </x:c>
    </x:row>
    <x:row r="32" ht="58" customHeight="1">
      <x:c r="A32" s="295" t="n">
        <x:v>9</x:v>
      </x:c>
      <x:c r="B32" s="295" t="str">
        <x:v>按量预估</x:v>
      </x:c>
      <x:c r="C32" s="271" t="str">
        <x:f>'按量计费'!B13</x:f>
        <x:v>SLS日志服务</x:v>
      </x:c>
      <x:c r="D32" s="271" t="str">
        <x:f>'按量计费'!C13</x:f>
        <x:v>原始写入数据量</x:v>
      </x:c>
      <x:c r="E32" s="271" t="str">
        <x:f>'按量计费'!M13</x:f>
        <x:v>API、错误、审计日志合计5GB/月</x:v>
      </x:c>
      <x:c r="F32" s="271" t="str">
        <x:f>'按量计费'!D13</x:f>
        <x:v>按量计费（按实际写入GB）</x:v>
      </x:c>
      <x:c r="G32" s="294" t="n">
        <x:f>'按量计费'!E13</x:f>
        <x:v>5</x:v>
      </x:c>
      <x:c r="H32" s="272" t="n">
        <x:f>'按量计费'!G13</x:f>
        <x:v>0.4</x:v>
      </x:c>
      <x:c r="I32" s="272" t="str">
        <x:f>'按量计费'!H13</x:f>
        <x:v>元/GB</x:v>
      </x:c>
      <x:c r="J32" s="272" t="n">
        <x:f>'按量计费'!I13</x:f>
        <x:v>2</x:v>
      </x:c>
      <x:c r="K32" s="272" t="n">
        <x:f>'按量计费'!J13</x:f>
        <x:v>24</x:v>
      </x:c>
      <x:c r="L32" s="305" t="str">
        <x:f>'按量计费'!L13</x:f>
        <x:v>https://help.aliyun.com/zh/sls/overview-11</x:v>
      </x:c>
    </x:row>
    <x:row r="33" ht="58" customHeight="1">
      <x:c r="A33" s="295" t="n">
        <x:v>10</x:v>
      </x:c>
      <x:c r="B33" s="295" t="str">
        <x:v>按量预估</x:v>
      </x:c>
      <x:c r="C33" s="271" t="str">
        <x:f>'按量计费'!B14</x:f>
        <x:v>SLS日志服务</x:v>
      </x:c>
      <x:c r="D33" s="271" t="str">
        <x:f>'按量计费'!C14</x:f>
        <x:v>日志索引流量</x:v>
      </x:c>
      <x:c r="E33" s="271" t="str">
        <x:f>'按量计费'!M14</x:f>
        <x:v>假设全部日志建立索引</x:v>
      </x:c>
      <x:c r="F33" s="271" t="str">
        <x:f>'按量计费'!D14</x:f>
        <x:v>按量计费（按实际索引GB）</x:v>
      </x:c>
      <x:c r="G33" s="294" t="n">
        <x:f>'按量计费'!E14</x:f>
        <x:v>5</x:v>
      </x:c>
      <x:c r="H33" s="272" t="n">
        <x:f>'按量计费'!G14</x:f>
        <x:v>0.35</x:v>
      </x:c>
      <x:c r="I33" s="272" t="str">
        <x:f>'按量计费'!H14</x:f>
        <x:v>元/GB</x:v>
      </x:c>
      <x:c r="J33" s="272" t="n">
        <x:f>'按量计费'!I14</x:f>
        <x:v>1.75</x:v>
      </x:c>
      <x:c r="K33" s="272" t="n">
        <x:f>'按量计费'!J14</x:f>
        <x:v>21</x:v>
      </x:c>
      <x:c r="L33" s="305" t="str">
        <x:f>'按量计费'!L14</x:f>
        <x:v>https://help.aliyun.com/zh/sls/overview-11</x:v>
      </x:c>
    </x:row>
    <x:row r="34" ht="58" customHeight="1">
      <x:c r="A34" s="295" t="n">
        <x:v>11</x:v>
      </x:c>
      <x:c r="B34" s="295" t="str">
        <x:v>按量预估</x:v>
      </x:c>
      <x:c r="C34" s="271" t="str">
        <x:f>'按量计费'!B15</x:f>
        <x:v>SLS日志服务</x:v>
      </x:c>
      <x:c r="D34" s="271" t="str">
        <x:f>'按量计费'!C15</x:f>
        <x:v>日志热存储</x:v>
      </x:c>
      <x:c r="E34" s="271" t="str">
        <x:f>'按量计费'!M15</x:f>
        <x:v>未折扣原价1.15元/百GB·天；平均5GB保留30天</x:v>
      </x:c>
      <x:c r="F34" s="271" t="str">
        <x:f>'按量计费'!D15</x:f>
        <x:v>按量计费（按实际GB·天）</x:v>
      </x:c>
      <x:c r="G34" s="294" t="n">
        <x:f>'按量计费'!E15</x:f>
        <x:v>1.5</x:v>
      </x:c>
      <x:c r="H34" s="272" t="n">
        <x:f>'按量计费'!G15</x:f>
        <x:v>1.15</x:v>
      </x:c>
      <x:c r="I34" s="272" t="str">
        <x:f>'按量计费'!H15</x:f>
        <x:v>元/百GB·天</x:v>
      </x:c>
      <x:c r="J34" s="272" t="n">
        <x:f>'按量计费'!I15</x:f>
        <x:v>1.7249999999999999</x:v>
      </x:c>
      <x:c r="K34" s="272" t="n">
        <x:f>'按量计费'!J15</x:f>
        <x:v>20.7</x:v>
      </x:c>
      <x:c r="L34" s="305" t="str">
        <x:f>'按量计费'!L15</x:f>
        <x:v>https://help.aliyun.com/zh/sls/overview-11</x:v>
      </x:c>
    </x:row>
    <x:row r="35" ht="58" customHeight="1">
      <x:c r="A35" s="295" t="n">
        <x:v>12</x:v>
      </x:c>
      <x:c r="B35" s="295" t="str">
        <x:v>按量预估</x:v>
      </x:c>
      <x:c r="C35" s="271" t="str">
        <x:f>'按量计费'!B16</x:f>
        <x:v>ECS快照</x:v>
      </x:c>
      <x:c r="D35" s="271" t="str">
        <x:f>'按量计费'!C16</x:f>
        <x:v>标准快照（杭州）</x:v>
      </x:c>
      <x:c r="E35" s="271" t="str">
        <x:f>'按量计费'!M16</x:f>
        <x:v>三台ECS快照；沿用每台平均50GB假设，合计150GB；实际账单随增量容量变化</x:v>
      </x:c>
      <x:c r="F35" s="271" t="str">
        <x:f>'按量计费'!D16</x:f>
        <x:v>按量计费（按实际快照GB·月）</x:v>
      </x:c>
      <x:c r="G35" s="294" t="n">
        <x:f>'按量计费'!E16</x:f>
        <x:v>150</x:v>
      </x:c>
      <x:c r="H35" s="272" t="n">
        <x:f>'按量计费'!G16</x:f>
        <x:v>0.12</x:v>
      </x:c>
      <x:c r="I35" s="272" t="str">
        <x:f>'按量计费'!H16</x:f>
        <x:v>元/GB·月</x:v>
      </x:c>
      <x:c r="J35" s="272" t="n">
        <x:f>'按量计费'!I16</x:f>
        <x:v>18</x:v>
      </x:c>
      <x:c r="K35" s="272" t="n">
        <x:f>'按量计费'!J16</x:f>
        <x:v>216</x:v>
      </x:c>
      <x:c r="L35" s="305" t="str">
        <x:f>'按量计费'!L16</x:f>
        <x:v>https://help.aliyun.com/zh/ecs/snapshots-1</x:v>
      </x:c>
    </x:row>
    <x:row r="36" ht="58" customHeight="1">
      <x:c r="A36" s="295" t="n">
        <x:v>13</x:v>
      </x:c>
      <x:c r="B36" s="295" t="str">
        <x:v>按量预估</x:v>
      </x:c>
      <x:c r="C36" s="271" t="str">
        <x:f>'按量计费'!B17</x:f>
        <x:v>应用型负载均衡ALB</x:v>
      </x:c>
      <x:c r="D36" s="271" t="str">
        <x:f>'按量计费'!C17</x:f>
        <x:v>标准版实例费</x:v>
      </x:c>
      <x:c r="E36" s="271" t="str">
        <x:f>'按量计费'!M17</x:f>
        <x:v>公网ALB；标准版；1个实例；运行720小时/月；官方目录价0.147元/小时</x:v>
      </x:c>
      <x:c r="F36" s="271" t="str">
        <x:f>'按量计费'!D17</x:f>
        <x:v>按量付费（实例费按小时）</x:v>
      </x:c>
      <x:c r="G36" s="294" t="n">
        <x:f>'按量计费'!E17</x:f>
        <x:v>7.2</x:v>
      </x:c>
      <x:c r="H36" s="272" t="n">
        <x:f>'按量计费'!G17</x:f>
        <x:v>14.7</x:v>
      </x:c>
      <x:c r="I36" s="272" t="str">
        <x:f>'按量计费'!H17</x:f>
        <x:v>元/百小时</x:v>
      </x:c>
      <x:c r="J36" s="272" t="n">
        <x:f>'按量计费'!I17</x:f>
        <x:v>105.84</x:v>
      </x:c>
      <x:c r="K36" s="272" t="n">
        <x:f>'按量计费'!J17</x:f>
        <x:v>1270.08</x:v>
      </x:c>
      <x:c r="L36" s="305" t="str">
        <x:f>'按量计费'!L17</x:f>
        <x:v>https://help.aliyun.com/zh/slb/application-load-balancer/alb-billing-rules</x:v>
      </x:c>
    </x:row>
    <x:row r="37" ht="30" customHeight="1">
      <x:c r="A37" s="297" t="str">
        <x:v>按量付费预估小计</x:v>
      </x:c>
      <x:c r="B37" s="297"/>
      <x:c r="C37" s="297"/>
      <x:c r="D37" s="297"/>
      <x:c r="E37" s="297"/>
      <x:c r="F37" s="297"/>
      <x:c r="G37" s="298"/>
      <x:c r="H37" s="299"/>
      <x:c r="I37" s="299"/>
      <x:c r="J37" s="299" t="n">
        <x:f>'按量计费'!I18</x:f>
        <x:v>419.8430000000001</x:v>
      </x:c>
      <x:c r="K37" s="299" t="n">
        <x:f>'按量计费'!J18</x:f>
        <x:v>5038.116</x:v>
      </x:c>
      <x:c r="L37" s="297"/>
    </x:row>
    <x:row r="38" ht="12" customHeight="1">
      <x:c r="A38" s="271"/>
      <x:c r="B38" s="271"/>
      <x:c r="C38" s="271"/>
      <x:c r="D38" s="271"/>
      <x:c r="E38" s="271"/>
      <x:c r="F38" s="271"/>
      <x:c r="G38" s="273"/>
      <x:c r="H38" s="272"/>
      <x:c r="I38" s="272"/>
      <x:c r="J38" s="272"/>
      <x:c r="K38" s="272"/>
      <x:c r="L38" s="271"/>
    </x:row>
    <x:row r="39" ht="30" customHeight="1">
      <x:c r="A39" s="275" t="str">
        <x:v>三、最终合价：固定费用 + 按量预估费用</x:v>
      </x:c>
      <x:c r="B39" s="275"/>
      <x:c r="C39" s="275"/>
      <x:c r="D39" s="275"/>
      <x:c r="E39" s="275"/>
      <x:c r="F39" s="275"/>
      <x:c r="G39" s="302"/>
      <x:c r="H39" s="303"/>
      <x:c r="I39" s="303"/>
      <x:c r="J39" s="303"/>
      <x:c r="K39" s="303"/>
      <x:c r="L39" s="275"/>
    </x:row>
    <x:row r="40" ht="42" customHeight="1">
      <x:c r="A40" s="276" t="str">
        <x:v>费用类别</x:v>
      </x:c>
      <x:c r="B40" s="276"/>
      <x:c r="C40" s="276"/>
      <x:c r="D40" s="276"/>
      <x:c r="E40" s="276"/>
      <x:c r="F40" s="276"/>
      <x:c r="G40" s="290"/>
      <x:c r="H40" s="291"/>
      <x:c r="I40" s="291"/>
      <x:c r="J40" s="291" t="str">
        <x:v>月金额</x:v>
      </x:c>
      <x:c r="K40" s="291" t="str">
        <x:v>年金额</x:v>
      </x:c>
      <x:c r="L40" s="276"/>
    </x:row>
    <x:row r="41" ht="30" customHeight="1">
      <x:c r="A41" s="281" t="str">
        <x:v>固定费用</x:v>
      </x:c>
      <x:c r="B41" s="281"/>
      <x:c r="C41" s="281"/>
      <x:c r="D41" s="281"/>
      <x:c r="E41" s="281"/>
      <x:c r="F41" s="281"/>
      <x:c r="G41" s="282"/>
      <x:c r="H41" s="283"/>
      <x:c r="I41" s="283"/>
      <x:c r="J41" s="283" t="n">
        <x:f>J20</x:f>
        <x:v>1292.9333333333332</x:v>
      </x:c>
      <x:c r="K41" s="283" t="n">
        <x:f>K20</x:f>
        <x:v>15515.199999999999</x:v>
      </x:c>
      <x:c r="L41" s="281"/>
    </x:row>
    <x:row r="42" ht="30" customHeight="1">
      <x:c r="A42" s="297" t="str">
        <x:v>基础按量预估费用（独立项）</x:v>
      </x:c>
      <x:c r="B42" s="297"/>
      <x:c r="C42" s="297"/>
      <x:c r="D42" s="297"/>
      <x:c r="E42" s="297"/>
      <x:c r="F42" s="297"/>
      <x:c r="G42" s="298"/>
      <x:c r="H42" s="299"/>
      <x:c r="I42" s="299"/>
      <x:c r="J42" s="299" t="n">
        <x:f>J37</x:f>
        <x:v>419.8430000000001</x:v>
      </x:c>
      <x:c r="K42" s="299" t="n">
        <x:f>K37</x:f>
        <x:v>5038.116</x:v>
      </x:c>
      <x:c r="L42" s="297"/>
    </x:row>
    <x:row r="43" ht="32" customHeight="1">
      <x:c r="A43" s="369" t="str">
        <x:v>语音房与直播按量预估（独立项，明细见同名工作表）</x:v>
      </x:c>
      <x:c r="B43" s="369"/>
      <x:c r="C43" s="369"/>
      <x:c r="D43" s="369"/>
      <x:c r="E43" s="369"/>
      <x:c r="F43" s="369"/>
      <x:c r="G43" s="370"/>
      <x:c r="H43" s="371"/>
      <x:c r="I43" s="371"/>
      <x:c r="J43" s="371" t="n">
        <x:f>'语音房与直播'!H44</x:f>
        <x:v>2146.1568932533264</x:v>
      </x:c>
      <x:c r="K43" s="371" t="n">
        <x:f>'语音房与直播'!I44</x:f>
        <x:v>25753.882719039917</x:v>
      </x:c>
      <x:c r="L43" s="369"/>
    </x:row>
    <x:row r="44" ht="30" customHeight="1">
      <x:c r="A44" s="281" t="str">
        <x:v>最终预估合价（未折扣原价）</x:v>
      </x:c>
      <x:c r="B44" s="281"/>
      <x:c r="C44" s="281"/>
      <x:c r="D44" s="281"/>
      <x:c r="E44" s="281"/>
      <x:c r="F44" s="281"/>
      <x:c r="G44" s="282"/>
      <x:c r="H44" s="283"/>
      <x:c r="I44" s="283"/>
      <x:c r="J44" s="283" t="n">
        <x:f>ROUND(SUM(J41:J43),2)</x:f>
        <x:v>3858.93</x:v>
      </x:c>
      <x:c r="K44" s="283" t="n">
        <x:f>ROUND(SUM(K41:K43),2)</x:f>
        <x:v>46307.2</x:v>
      </x:c>
      <x:c r="L44" s="281" t="str">
        <x:v>固定 + 基础按量 + 音视频按量</x:v>
      </x:c>
    </x:row>
    <x:row r="45" ht="12" customHeight="1">
      <x:c r="A45" s="271"/>
      <x:c r="B45" s="271"/>
      <x:c r="C45" s="271"/>
      <x:c r="D45" s="271"/>
      <x:c r="E45" s="271"/>
      <x:c r="F45" s="271"/>
      <x:c r="G45" s="271"/>
      <x:c r="H45" s="271"/>
      <x:c r="I45" s="271"/>
      <x:c r="J45" s="271"/>
      <x:c r="K45" s="271"/>
      <x:c r="L45" s="271"/>
    </x:row>
    <x:row r="46" ht="12" customHeight="1">
      <x:c r="A46" s="271"/>
      <x:c r="B46" s="271"/>
      <x:c r="C46" s="271"/>
      <x:c r="D46" s="271"/>
      <x:c r="E46" s="271"/>
      <x:c r="F46" s="271"/>
      <x:c r="G46" s="271"/>
      <x:c r="H46" s="271"/>
      <x:c r="I46" s="271"/>
      <x:c r="J46" s="271"/>
      <x:c r="K46" s="271"/>
      <x:c r="L46" s="271"/>
    </x:row>
    <x:row r="47" ht="12" customHeight="1">
      <x:c r="A47" s="271"/>
      <x:c r="B47" s="271"/>
      <x:c r="C47" s="271"/>
      <x:c r="D47" s="271"/>
      <x:c r="E47" s="271"/>
      <x:c r="F47" s="271"/>
      <x:c r="G47" s="271"/>
      <x:c r="H47" s="271"/>
      <x:c r="I47" s="271"/>
      <x:c r="J47" s="271"/>
      <x:c r="K47" s="271"/>
      <x:c r="L47" s="271"/>
    </x:row>
    <x:row r="48">
      <x:c r="A48" s="269" t="str">
        <x:v>计价口径</x:v>
      </x:c>
      <x:c r="B48" s="269"/>
      <x:c r="C48" s="269"/>
      <x:c r="D48" s="269"/>
      <x:c r="E48" s="269"/>
      <x:c r="F48" s="269"/>
      <x:c r="G48" s="269"/>
      <x:c r="H48" s="269" t="str">
        <x:v>本报价不包含</x:v>
      </x:c>
      <x:c r="I48" s="269"/>
      <x:c r="J48" s="269"/>
      <x:c r="K48" s="269"/>
      <x:c r="L48" s="269"/>
    </x:row>
    <x:row r="49" ht="42" customHeight="1">
      <x:c r="A49" s="269" t="str">
        <x:v>1</x:v>
      </x:c>
      <x:c r="B49" s="269" t="str">
        <x:v>三台ECS均为4核8GiB；ALB标准版作为公网统一入口</x:v>
      </x:c>
      <x:c r="C49" s="269"/>
      <x:c r="D49" s="269"/>
      <x:c r="E49" s="269"/>
      <x:c r="F49" s="269"/>
      <x:c r="G49" s="269"/>
      <x:c r="H49" s="269" t="str">
        <x:v>×</x:v>
      </x:c>
      <x:c r="I49" s="269" t="str">
        <x:v>AI语音、语音识别和语音合成</x:v>
      </x:c>
      <x:c r="J49" s="269"/>
      <x:c r="K49" s="269"/>
      <x:c r="L49" s="269"/>
    </x:row>
    <x:row r="50" ht="42" customHeight="1">
      <x:c r="A50" s="269" t="str">
        <x:v>2</x:v>
      </x:c>
      <x:c r="B50" s="269" t="str">
        <x:v>语音房与直播另表计入：ARTC、直播分发、转码、录制及存储；无回放，已排除回放关联费用</x:v>
      </x:c>
      <x:c r="C50" s="269"/>
      <x:c r="D50" s="269"/>
      <x:c r="E50" s="269"/>
      <x:c r="F50" s="269"/>
      <x:c r="G50" s="269"/>
      <x:c r="H50" s="269" t="str">
        <x:v>×</x:v>
      </x:c>
      <x:c r="I50" s="269" t="str">
        <x:v>真人1v1、视频连麦/PK、RTS及商用美颜/播放器SDK</x:v>
      </x:c>
      <x:c r="J50" s="269"/>
      <x:c r="K50" s="269"/>
      <x:c r="L50" s="269"/>
    </x:row>
    <x:row r="51" ht="42" customHeight="1">
      <x:c r="A51" s="269" t="str">
        <x:v>3</x:v>
      </x:c>
      <x:c r="B51" s="269" t="str">
        <x:v>基础按量在“按量计费”调整；媒体用量在“语音房与直播”黄色单元格调整，自动汇总</x:v>
      </x:c>
      <x:c r="C51" s="269"/>
      <x:c r="D51" s="269"/>
      <x:c r="E51" s="269"/>
      <x:c r="F51" s="269"/>
      <x:c r="G51" s="269"/>
      <x:c r="H51" s="269" t="str">
        <x:v>×</x:v>
      </x:c>
      <x:c r="I51" s="269" t="str">
        <x:v>内容审核/直播审核待询价；第三方IM和客服</x:v>
      </x:c>
      <x:c r="J51" s="269"/>
      <x:c r="K51" s="269"/>
      <x:c r="L51" s="269"/>
    </x:row>
    <x:row r="52" ht="42" customHeight="1">
      <x:c r="A52" s="269" t="str">
        <x:v>4</x:v>
      </x:c>
      <x:c r="B52" s="269" t="str">
        <x:v>年度金额按未舍入的各项月费年化后汇总；与已显示月合价 × 12可能有分位差异</x:v>
      </x:c>
      <x:c r="C52" s="269"/>
      <x:c r="D52" s="269"/>
      <x:c r="E52" s="269"/>
      <x:c r="F52" s="269"/>
      <x:c r="G52" s="269"/>
      <x:c r="H52" s="269" t="str">
        <x:v>×</x:v>
      </x:c>
      <x:c r="I52" s="269" t="str">
        <x:v>独立云Redis、高可用RDS、WAF及ALB资源预留</x:v>
      </x:c>
      <x:c r="J52" s="269"/>
      <x:c r="K52" s="269"/>
      <x:c r="L52" s="269"/>
    </x:row>
    <x:row r="53" ht="42" customHeight="1">
      <x:c r="A53" s="269" t="str">
        <x:v>5</x:v>
      </x:c>
      <x:c r="B53" s="269" t="str">
        <x:f> "最终预估月合价 ¥"&amp;TEXT(J44,"#,##0.00")&amp;"；年合价 ¥"&amp;TEXT(K44,"#,##0.00")</x:f>
        <x:v>最终预估月合价 ¥3,858.93；年合价 ¥46,307.20</x:v>
      </x:c>
      <x:c r="C53" s="269"/>
      <x:c r="D53" s="269"/>
      <x:c r="E53" s="269"/>
      <x:c r="F53" s="269"/>
      <x:c r="G53" s="269"/>
      <x:c r="H53" s="269" t="str">
        <x:v>×</x:v>
      </x:c>
      <x:c r="I53" s="269" t="str">
        <x:v>人工、支付手续费、商店/IAP及实名认证接口</x:v>
      </x:c>
      <x:c r="J53" s="269"/>
      <x:c r="K53" s="269"/>
      <x:c r="L53" s="269"/>
    </x:row>
    <x:row r="54">
      <x:c r="A54" s="269"/>
      <x:c r="B54" s="269"/>
      <x:c r="C54" s="269"/>
      <x:c r="D54" s="269"/>
      <x:c r="E54" s="269"/>
      <x:c r="F54" s="269"/>
      <x:c r="G54" s="269"/>
      <x:c r="H54" s="269"/>
      <x:c r="I54" s="269"/>
      <x:c r="J54" s="269"/>
      <x:c r="K54" s="269"/>
      <x:c r="L54" s="269"/>
    </x:row>
    <x:row r="55" ht="42" customHeight="1">
      <x:c r="A55" s="270" t="str">
        <x:v>风险提示：三台ECS经ALB分流，应用层具备基础冗余；但基础系列RDS与ECS内自建Redis仍为单点。ALB的LCU费按实际流量计费，本表仅按冷启动平均0.10 LCU估算。正式购买前应在官方价格页按地域和可用区重新核价。</x:v>
      </x:c>
      <x:c r="B55" s="270"/>
      <x:c r="C55" s="270"/>
      <x:c r="D55" s="270"/>
      <x:c r="E55" s="270"/>
      <x:c r="F55" s="270"/>
      <x:c r="G55" s="270"/>
      <x:c r="H55" s="270"/>
      <x:c r="I55" s="270"/>
      <x:c r="J55" s="270"/>
      <x:c r="K55" s="270"/>
      <x:c r="L55" s="270"/>
    </x:row>
  </x:sheetData>
  <x:mergeCells>
    <x:mergeCell ref="A1:L1"/>
    <x:mergeCell ref="A2:L2"/>
    <x:mergeCell ref="A5:C5"/>
    <x:mergeCell ref="A6:C7"/>
    <x:mergeCell ref="D5:F5"/>
    <x:mergeCell ref="D6:F7"/>
    <x:mergeCell ref="G5:I5"/>
    <x:mergeCell ref="G6:I7"/>
    <x:mergeCell ref="J5:L5"/>
    <x:mergeCell ref="J6:L7"/>
    <x:mergeCell ref="A48:G48"/>
    <x:mergeCell ref="H48:L48"/>
    <x:mergeCell ref="B49:G49"/>
    <x:mergeCell ref="I49:L49"/>
    <x:mergeCell ref="B50:G50"/>
    <x:mergeCell ref="I50:L50"/>
    <x:mergeCell ref="B51:G51"/>
    <x:mergeCell ref="I51:L51"/>
    <x:mergeCell ref="B52:G52"/>
    <x:mergeCell ref="I52:L52"/>
    <x:mergeCell ref="B53:G53"/>
    <x:mergeCell ref="I53:L53"/>
    <x:mergeCell ref="A55:L55"/>
    <x:mergeCell ref="A9:L9"/>
    <x:mergeCell ref="A20:I20"/>
    <x:mergeCell ref="A22:L22"/>
    <x:mergeCell ref="A37:I37"/>
    <x:mergeCell ref="A39:L39"/>
    <x:mergeCell ref="A40:I40"/>
    <x:mergeCell ref="A41:I41"/>
    <x:mergeCell ref="A42:I42"/>
    <x:mergeCell ref="A44:I44"/>
    <x:mergeCell ref="A43:I4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5" hidden="0" customWidth="1"/>
    <x:col min="3" max="3" width="25" hidden="0" customWidth="1"/>
    <x:col min="4" max="4" width="36" hidden="0" customWidth="1"/>
    <x:col min="5" max="5" width="24" hidden="0" customWidth="1"/>
    <x:col min="6" max="6" width="11" hidden="0" customWidth="1"/>
    <x:col min="7" max="7" width="17" hidden="0" customWidth="1"/>
    <x:col min="8" max="8" width="15" hidden="0" customWidth="1"/>
    <x:col min="9" max="9" width="15" hidden="0" customWidth="1"/>
    <x:col min="10" max="10" width="15" hidden="0" customWidth="1"/>
    <x:col min="11" max="11" width="43" hidden="0" customWidth="1"/>
    <x:col min="12" max="12" width="32" hidden="0" customWidth="1"/>
  </x:cols>
  <x:sheetData>
    <x:row r="1" ht="34" customHeight="1">
      <x:c r="A1" s="195" t="str">
        <x:v>阿里云固定配置报价明细（未折扣原价）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</x:row>
    <x:row r="2" ht="42" customHeight="1">
      <x:c r="A2" s="7" t="str">
        <x:v>地域：华东1（杭州）；1个月按30天。ECS 4核8GiB单价为原表2核4GiB预算的2倍暂估，未取得当前正式报价；其余单价沿用原预算，不计折扣。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198"/>
      <x:c r="B3" s="198"/>
      <x:c r="C3" s="198"/>
      <x:c r="D3" s="198"/>
      <x:c r="E3" s="198"/>
      <x:c r="F3" s="198"/>
      <x:c r="G3" s="198"/>
      <x:c r="H3" s="198"/>
      <x:c r="I3" s="198"/>
      <x:c r="J3" s="198"/>
      <x:c r="K3" s="198"/>
      <x:c r="L3" s="198"/>
    </x:row>
    <x:row r="4" ht="34" customHeight="1">
      <x:c r="A4" s="13" t="str">
        <x:v>序号</x:v>
      </x:c>
      <x:c r="B4" s="13" t="str">
        <x:v>产品</x:v>
      </x:c>
      <x:c r="C4" s="13" t="str">
        <x:v>配置名/规格代码</x:v>
      </x:c>
      <x:c r="D4" s="13" t="str">
        <x:v>完整配置</x:v>
      </x:c>
      <x:c r="E4" s="13" t="str">
        <x:v>计费方式</x:v>
      </x:c>
      <x:c r="F4" s="13" t="str">
        <x:v>计费数量</x:v>
      </x:c>
      <x:c r="G4" s="13" t="str">
        <x:v>未折扣原价单价</x:v>
      </x:c>
      <x:c r="H4" s="13" t="str">
        <x:v>计价单位</x:v>
      </x:c>
      <x:c r="I4" s="13" t="str">
        <x:v>预计月金额</x:v>
      </x:c>
      <x:c r="J4" s="13" t="str">
        <x:v>预计年金额</x:v>
      </x:c>
      <x:c r="K4" s="13" t="str">
        <x:v>官方价格/购买链接</x:v>
      </x:c>
      <x:c r="L4" s="13" t="str">
        <x:v>说明</x:v>
      </x:c>
    </x:row>
    <x:row r="5" ht="54" customHeight="1">
      <x:c r="A5" s="244" t="n">
        <x:v>1</x:v>
      </x:c>
      <x:c r="B5" s="213" t="str">
        <x:v>ECS云服务器</x:v>
      </x:c>
      <x:c r="C5" s="213" t="str">
        <x:v>ecs.u1-c1m2.xlarge</x:v>
      </x:c>
      <x:c r="D5" s="213" t="str">
        <x:v>通用算力型 u1；4 vCPU；8 GiB；Linux；3台</x:v>
      </x:c>
      <x:c r="E5" s="244" t="str">
        <x:v>包年包月目录价（按月测算）</x:v>
      </x:c>
      <x:c r="F5" s="245" t="n">
        <x:v>3</x:v>
      </x:c>
      <x:c r="G5" s="246" t="n">
        <x:f>'价格来源'!E27</x:f>
        <x:v>337.2</x:v>
      </x:c>
      <x:c r="H5" s="246" t="str">
        <x:v>元/台·月</x:v>
      </x:c>
      <x:c r="I5" s="246" t="n">
        <x:f>F5*G5</x:f>
        <x:v>1011.5999999999999</x:v>
      </x:c>
      <x:c r="J5" s="246" t="n">
        <x:f>I5*12</x:f>
        <x:v>12139.199999999999</x:v>
      </x:c>
      <x:c r="K5" s="217" t="str">
        <x:v>https://ecs-buy.aliyun.com/price</x:v>
      </x:c>
      <x:c r="L5" s="213" t="str">
        <x:v>三台应用节点；单价暂按原2核4GiB预算的2倍推算，待杭州正式询价</x:v>
      </x:c>
    </x:row>
    <x:row r="6" ht="54" customHeight="1">
      <x:c r="A6" s="247" t="n">
        <x:v>2</x:v>
      </x:c>
      <x:c r="B6" s="219" t="str">
        <x:v>ECS系统盘</x:v>
      </x:c>
      <x:c r="C6" s="219" t="str">
        <x:v>ESSD Entry</x:v>
      </x:c>
      <x:c r="D6" s="219" t="str">
        <x:v>每台100 GiB；3台合计300 GiB</x:v>
      </x:c>
      <x:c r="E6" s="247" t="str">
        <x:v>包年包月目录价（按容量）</x:v>
      </x:c>
      <x:c r="F6" s="248" t="n">
        <x:v>300</x:v>
      </x:c>
      <x:c r="G6" s="249" t="n">
        <x:v>0.2</x:v>
      </x:c>
      <x:c r="H6" s="249" t="str">
        <x:v>元/GiB·月</x:v>
      </x:c>
      <x:c r="I6" s="249" t="n">
        <x:f>F6*G6</x:f>
        <x:v>60</x:v>
      </x:c>
      <x:c r="J6" s="249" t="n">
        <x:f>I6*12</x:f>
        <x:v>720</x:v>
      </x:c>
      <x:c r="K6" s="223" t="str">
        <x:v>https://help.aliyun.com/zh/ecs/user-guide/elastic-block-storage-devices</x:v>
      </x:c>
      <x:c r="L6" s="219" t="str">
        <x:v>固定容量；未计快照，快照在按量表单列</x:v>
      </x:c>
    </x:row>
    <x:row r="7" ht="54" customHeight="1">
      <x:c r="A7" s="247" t="n">
        <x:v>3</x:v>
      </x:c>
      <x:c r="B7" s="219" t="str">
        <x:v>ALB公网带宽</x:v>
      </x:c>
      <x:c r="C7" s="219" t="str">
        <x:v>固定带宽</x:v>
      </x:c>
      <x:c r="D7" s="219" t="str">
        <x:v>中国内地；5 Mbps；绑定公网ALB</x:v>
      </x:c>
      <x:c r="E7" s="247" t="str">
        <x:v>固定带宽目录价（按月测算）</x:v>
      </x:c>
      <x:c r="F7" s="248" t="n">
        <x:v>1</x:v>
      </x:c>
      <x:c r="G7" s="249" t="n">
        <x:v>125</x:v>
      </x:c>
      <x:c r="H7" s="249" t="str">
        <x:v>元/月</x:v>
      </x:c>
      <x:c r="I7" s="249" t="n">
        <x:f>F7*G7</x:f>
        <x:v>125</x:v>
      </x:c>
      <x:c r="J7" s="249" t="n">
        <x:f>I7*12</x:f>
        <x:v>1500</x:v>
      </x:c>
      <x:c r="K7" s="223" t="str">
        <x:v>https://help.aliyun.com/zh/ecs/user-guide/billing-for-public-bandwidth</x:v>
      </x:c>
      <x:c r="L7" s="219" t="str">
        <x:v>公网入口位于ALB；后端三台ECS仅走内网</x:v>
      </x:c>
    </x:row>
    <x:row r="8" ht="54" customHeight="1">
      <x:c r="A8" s="247" t="n">
        <x:v>4</x:v>
      </x:c>
      <x:c r="B8" s="219" t="str">
        <x:v>RDS MySQL计算</x:v>
      </x:c>
      <x:c r="C8" s="219" t="str">
        <x:v>mysql.n2e.medium.1（倚天版）</x:v>
      </x:c>
      <x:c r="D8" s="219" t="str">
        <x:v>MySQL 8.0；基础系列；通用型；2核4GB；单节点</x:v>
      </x:c>
      <x:c r="E8" s="247" t="str">
        <x:v>包年包月目录价（按月测算）</x:v>
      </x:c>
      <x:c r="F8" s="248" t="n">
        <x:v>1</x:v>
      </x:c>
      <x:c r="G8" s="249" t="n">
        <x:v>68</x:v>
      </x:c>
      <x:c r="H8" s="249" t="str">
        <x:v>元/实例·月</x:v>
      </x:c>
      <x:c r="I8" s="249" t="n">
        <x:f>F8*G8</x:f>
        <x:v>68</x:v>
      </x:c>
      <x:c r="J8" s="249" t="n">
        <x:f>I8*12</x:f>
        <x:v>816</x:v>
      </x:c>
      <x:c r="K8" s="223" t="str">
        <x:v>https://www.aliyun.com/price/product#/rds/detail</x:v>
      </x:c>
      <x:c r="L8" s="219" t="str">
        <x:v>固定配置；基础系列存在单点故障风险</x:v>
      </x:c>
    </x:row>
    <x:row r="9" ht="54" customHeight="1">
      <x:c r="A9" s="247" t="n">
        <x:v>5</x:v>
      </x:c>
      <x:c r="B9" s="219" t="str">
        <x:v>RDS MySQL存储</x:v>
      </x:c>
      <x:c r="C9" s="219" t="str">
        <x:v>ESSD PL0云盘</x:v>
      </x:c>
      <x:c r="D9" s="219" t="str">
        <x:v>50 GiB；与上述RDS实例同地域</x:v>
      </x:c>
      <x:c r="E9" s="247" t="str">
        <x:v>包年包月目录价（按容量）</x:v>
      </x:c>
      <x:c r="F9" s="248" t="n">
        <x:v>50</x:v>
      </x:c>
      <x:c r="G9" s="249" t="n">
        <x:v>0.4</x:v>
      </x:c>
      <x:c r="H9" s="249" t="str">
        <x:v>元/GiB·月</x:v>
      </x:c>
      <x:c r="I9" s="249" t="n">
        <x:f>F9*G9</x:f>
        <x:v>20</x:v>
      </x:c>
      <x:c r="J9" s="249" t="n">
        <x:f>I9*12</x:f>
        <x:v>240</x:v>
      </x:c>
      <x:c r="K9" s="223" t="str">
        <x:v>https://www.aliyun.com/price/product#/rds/detail</x:v>
      </x:c>
      <x:c r="L9" s="219" t="str">
        <x:v>固定容量；备份免费额度外费用未计</x:v>
      </x:c>
    </x:row>
    <x:row r="10" ht="54" customHeight="1">
      <x:c r="A10" s="247" t="n">
        <x:v>6</x:v>
      </x:c>
      <x:c r="B10" s="219" t="str">
        <x:v>Redis</x:v>
      </x:c>
      <x:c r="C10" s="219" t="str">
        <x:v>ECS内自建 Redis</x:v>
      </x:c>
      <x:c r="D10" s="219" t="str">
        <x:v>部署在ECS-1；三台应用节点通过内网共享访问</x:v>
      </x:c>
      <x:c r="E10" s="247" t="str">
        <x:v>不单独购云资源</x:v>
      </x:c>
      <x:c r="F10" s="248" t="n">
        <x:v>1</x:v>
      </x:c>
      <x:c r="G10" s="249" t="n">
        <x:v>0</x:v>
      </x:c>
      <x:c r="H10" s="249" t="str">
        <x:v>元/月</x:v>
      </x:c>
      <x:c r="I10" s="249" t="n">
        <x:f>F10*G10</x:f>
        <x:v>0</x:v>
      </x:c>
      <x:c r="J10" s="249" t="n">
        <x:f>I10*12</x:f>
        <x:v>0</x:v>
      </x:c>
      <x:c r="K10" s="223"/>
      <x:c r="L10" s="219" t="str">
        <x:v>无独立云Redis费用；Redis仍存在单点风险</x:v>
      </x:c>
    </x:row>
    <x:row r="11" ht="54" customHeight="1">
      <x:c r="A11" s="247" t="n">
        <x:v>7</x:v>
      </x:c>
      <x:c r="B11" s="219" t="str">
        <x:v>域名</x:v>
      </x:c>
      <x:c r="C11" s="219" t="str">
        <x:v>.com/.cn 预算项</x:v>
      </x:c>
      <x:c r="D11" s="219" t="str">
        <x:v>1个域名；实际后缀待定</x:v>
      </x:c>
      <x:c r="E11" s="247" t="str">
        <x:v>按年购买（月度摊销）</x:v>
      </x:c>
      <x:c r="F11" s="248" t="n">
        <x:v>1</x:v>
      </x:c>
      <x:c r="G11" s="249" t="n">
        <x:v>100</x:v>
      </x:c>
      <x:c r="H11" s="249" t="str">
        <x:v>元/个·年</x:v>
      </x:c>
      <x:c r="I11" s="249" t="n">
        <x:f>F11*G11/12</x:f>
        <x:v>8.333333333333334</x:v>
      </x:c>
      <x:c r="J11" s="249" t="n">
        <x:f>F11*G11</x:f>
        <x:v>100</x:v>
      </x:c>
      <x:c r="K11" s="223" t="str">
        <x:v>https://wanwang.aliyun.com/domain/price</x:v>
      </x:c>
      <x:c r="L11" s="219" t="str">
        <x:v>预算假设；不同后缀、注册与续费价格不同</x:v>
      </x:c>
    </x:row>
    <x:row r="12" ht="54" customHeight="1">
      <x:c r="A12" s="247" t="n">
        <x:v>8</x:v>
      </x:c>
      <x:c r="B12" s="219" t="str">
        <x:v>SSL证书</x:v>
      </x:c>
      <x:c r="C12" s="219" t="str">
        <x:v>免费DV证书</x:v>
      </x:c>
      <x:c r="D12" s="219" t="str">
        <x:v>HTTPS基础证书</x:v>
      </x:c>
      <x:c r="E12" s="247" t="str">
        <x:v>免费</x:v>
      </x:c>
      <x:c r="F12" s="248" t="n">
        <x:v>1</x:v>
      </x:c>
      <x:c r="G12" s="249" t="n">
        <x:v>0</x:v>
      </x:c>
      <x:c r="H12" s="249" t="str">
        <x:v>元/年</x:v>
      </x:c>
      <x:c r="I12" s="249" t="n">
        <x:f>F12*G12/12</x:f>
        <x:v>0</x:v>
      </x:c>
      <x:c r="J12" s="249" t="n">
        <x:f>F12*G12</x:f>
        <x:v>0</x:v>
      </x:c>
      <x:c r="K12" s="223" t="str">
        <x:v>https://www.aliyun.com/product/cas</x:v>
      </x:c>
      <x:c r="L12" s="219" t="str">
        <x:v>如采购企业型/OV/EV证书需另行报价</x:v>
      </x:c>
    </x:row>
    <x:row r="13" ht="54" customHeight="1">
      <x:c r="A13" s="247" t="n">
        <x:v>9</x:v>
      </x:c>
      <x:c r="B13" s="219" t="str">
        <x:v>云监控</x:v>
      </x:c>
      <x:c r="C13" s="219" t="str">
        <x:v>基础云监控</x:v>
      </x:c>
      <x:c r="D13" s="219" t="str">
        <x:v>ECS/RDS/ALB基础指标与告警</x:v>
      </x:c>
      <x:c r="E13" s="247" t="str">
        <x:v>免费基础版</x:v>
      </x:c>
      <x:c r="F13" s="248" t="n">
        <x:v>1</x:v>
      </x:c>
      <x:c r="G13" s="249" t="n">
        <x:v>0</x:v>
      </x:c>
      <x:c r="H13" s="249" t="str">
        <x:v>元/月</x:v>
      </x:c>
      <x:c r="I13" s="249" t="n">
        <x:f>F13*G13</x:f>
        <x:v>0</x:v>
      </x:c>
      <x:c r="J13" s="249" t="n">
        <x:f>I13*12</x:f>
        <x:v>0</x:v>
      </x:c>
      <x:c r="K13" s="223" t="str">
        <x:v>https://www.aliyun.com/product/jiankong</x:v>
      </x:c>
      <x:c r="L13" s="219" t="str">
        <x:v>自定义高级监控、电话告警等另计</x:v>
      </x:c>
    </x:row>
    <x:row r="14" ht="54" customHeight="1">
      <x:c r="A14" s="247"/>
      <x:c r="B14" s="219"/>
      <x:c r="C14" s="219"/>
      <x:c r="D14" s="219"/>
      <x:c r="E14" s="247"/>
      <x:c r="F14" s="248"/>
      <x:c r="G14" s="249"/>
      <x:c r="H14" s="249"/>
      <x:c r="I14" s="249"/>
      <x:c r="J14" s="249"/>
      <x:c r="K14" s="223"/>
      <x:c r="L14" s="219"/>
    </x:row>
    <x:row r="15" ht="28" customHeight="1">
      <x:c r="A15" s="225" t="str">
        <x:v>固定费用小计（不含按量付费）</x:v>
      </x:c>
      <x:c r="B15" s="226"/>
      <x:c r="C15" s="226"/>
      <x:c r="D15" s="226"/>
      <x:c r="E15" s="226"/>
      <x:c r="F15" s="226"/>
      <x:c r="G15" s="227"/>
      <x:c r="H15" s="227"/>
      <x:c r="I15" s="227" t="n">
        <x:f>SUM(I5:I13)</x:f>
        <x:v>1292.9333333333332</x:v>
      </x:c>
      <x:c r="J15" s="227" t="n">
        <x:f>SUM(J5:J13)</x:f>
        <x:v>15515.199999999999</x:v>
      </x:c>
      <x:c r="K15" s="226" t="str">
        <x:v>不含任何折扣</x:v>
      </x:c>
      <x:c r="L15" s="228"/>
    </x:row>
  </x:sheetData>
  <x:mergeCells>
    <x:mergeCell ref="A1:L1"/>
    <x:mergeCell ref="A2:L2"/>
    <x:mergeCell ref="A15:H15"/>
    <x:mergeCell ref="K15:L15"/>
  </x:mergeCells>
  <x:pageMargins left="0.7" right="0.7" top="0.75" bottom="0.75" header="0.3" footer="0.3"/>
  <x:legacyDrawing xmlns:r="http://schemas.openxmlformats.org/officeDocument/2006/relationships" r:id="Rc94f53495f25402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" hidden="0" customWidth="1"/>
    <x:col min="3" max="3" width="31" hidden="0" customWidth="1"/>
    <x:col min="4" max="4" width="27" hidden="0" customWidth="1"/>
    <x:col min="5" max="5" width="13" hidden="0" customWidth="1"/>
    <x:col min="6" max="6" width="13" hidden="0" customWidth="1"/>
    <x:col min="7" max="7" width="17" hidden="0" customWidth="1"/>
    <x:col min="8" max="8" width="16" hidden="0" customWidth="1"/>
    <x:col min="9" max="9" width="14" hidden="0" customWidth="1"/>
    <x:col min="10" max="10" width="14" hidden="0" customWidth="1"/>
    <x:col min="11" max="11" width="24" hidden="0" customWidth="1"/>
    <x:col min="12" max="12" width="43" hidden="0" customWidth="1"/>
    <x:col min="13" max="13" width="39" hidden="0" customWidth="1"/>
  </x:cols>
  <x:sheetData>
    <x:row r="1" ht="34" customHeight="1">
      <x:c r="A1" s="195" t="str">
        <x:v>阿里云按量计费报价明细（未折扣原价）</x:v>
      </x:c>
      <x:c r="B1" s="195"/>
      <x:c r="C1" s="195"/>
      <x:c r="D1" s="195"/>
      <x:c r="E1" s="195"/>
      <x:c r="F1" s="195"/>
      <x:c r="G1" s="195"/>
      <x:c r="H1" s="195"/>
      <x:c r="I1" s="195"/>
      <x:c r="J1" s="195"/>
      <x:c r="K1" s="195"/>
      <x:c r="L1" s="195"/>
      <x:c r="M1" s="195"/>
    </x:row>
    <x:row r="2" ht="42" customHeight="1">
      <x:c r="A2" s="7" t="str">
        <x:v>黄色单元格为可调整的月度预计用量。所有项目均明确按量计算：月金额 = 预计用量 × 官网未折扣单价；未使用资源包、免费额度或促销折扣。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>
      <x:c r="A3" s="198"/>
      <x:c r="B3" s="198"/>
      <x:c r="C3" s="198"/>
      <x:c r="D3" s="198"/>
      <x:c r="E3" s="198"/>
      <x:c r="F3" s="198"/>
      <x:c r="G3" s="198"/>
      <x:c r="H3" s="198"/>
      <x:c r="I3" s="198"/>
      <x:c r="J3" s="198"/>
      <x:c r="K3" s="198"/>
      <x:c r="L3" s="198"/>
      <x:c r="M3" s="198"/>
    </x:row>
    <x:row r="4" ht="38" customHeight="1">
      <x:c r="A4" s="13" t="str">
        <x:v>序号</x:v>
      </x:c>
      <x:c r="B4" s="13" t="str">
        <x:v>产品</x:v>
      </x:c>
      <x:c r="C4" s="13" t="str">
        <x:v>计费项</x:v>
      </x:c>
      <x:c r="D4" s="13" t="str">
        <x:v>计费方式（按量）</x:v>
      </x:c>
      <x:c r="E4" s="13" t="str">
        <x:v>预计月用量</x:v>
      </x:c>
      <x:c r="F4" s="13" t="str">
        <x:v>用量单位</x:v>
      </x:c>
      <x:c r="G4" s="13" t="str">
        <x:v>未折扣原价单价</x:v>
      </x:c>
      <x:c r="H4" s="13" t="str">
        <x:v>单价单位</x:v>
      </x:c>
      <x:c r="I4" s="13" t="str">
        <x:v>预估月金额</x:v>
      </x:c>
      <x:c r="J4" s="13" t="str">
        <x:v>预估年金额</x:v>
      </x:c>
      <x:c r="K4" s="13" t="str">
        <x:v>计算式</x:v>
      </x:c>
      <x:c r="L4" s="13" t="str">
        <x:v>官方价格链接</x:v>
      </x:c>
      <x:c r="M4" s="13" t="str">
        <x:v>使用假设/备注</x:v>
      </x:c>
    </x:row>
    <x:row r="5" ht="56" customHeight="1">
      <x:c r="A5" s="244" t="n">
        <x:v>1</x:v>
      </x:c>
      <x:c r="B5" s="213" t="str">
        <x:v>应用型负载均衡ALB</x:v>
      </x:c>
      <x:c r="C5" s="213" t="str">
        <x:v>性能容量单位LCU</x:v>
      </x:c>
      <x:c r="D5" s="244" t="str">
        <x:v>按量计费（按实际LCU用量）</x:v>
      </x:c>
      <x:c r="E5" s="250" t="n">
        <x:v>0.72</x:v>
      </x:c>
      <x:c r="F5" s="244" t="str">
        <x:v>百LCU·小时</x:v>
      </x:c>
      <x:c r="G5" s="246" t="n">
        <x:v>4.9</x:v>
      </x:c>
      <x:c r="H5" s="246" t="str">
        <x:v>元/百LCU·小时</x:v>
      </x:c>
      <x:c r="I5" s="246" t="n">
        <x:f>E5*G5</x:f>
        <x:v>3.528</x:v>
      </x:c>
      <x:c r="J5" s="246" t="n">
        <x:f>I5*12</x:f>
        <x:v>42.336</x:v>
      </x:c>
      <x:c r="K5" s="213" t="str">
        <x:f>TEXT(E5,"0.00")&amp;" × "&amp;TEXT(G5,"0.00")</x:f>
        <x:v>0.72 × 4.90</x:v>
      </x:c>
      <x:c r="L5" s="217" t="str">
        <x:v>https://help.aliyun.com/zh/slb/application-load-balancer/alb-billing-rules</x:v>
      </x:c>
      <x:c r="M5" s="213" t="str">
        <x:v>未折扣原价4.90元/百LCU·小时；按冷启动平均0.10 LCU换算</x:v>
      </x:c>
    </x:row>
    <x:row r="6" ht="56" customHeight="1">
      <x:c r="A6" s="247" t="n">
        <x:v>2</x:v>
      </x:c>
      <x:c r="B6" s="219" t="str">
        <x:v>OSS</x:v>
      </x:c>
      <x:c r="C6" s="219" t="str">
        <x:v>标准存储（本地冗余）</x:v>
      </x:c>
      <x:c r="D6" s="247" t="str">
        <x:v>按量计费（按实际GB·月）</x:v>
      </x:c>
      <x:c r="E6" s="251" t="n">
        <x:v>100</x:v>
      </x:c>
      <x:c r="F6" s="247" t="str">
        <x:v>GB·月</x:v>
      </x:c>
      <x:c r="G6" s="249" t="n">
        <x:v>0.12</x:v>
      </x:c>
      <x:c r="H6" s="249" t="str">
        <x:v>元/GB·月</x:v>
      </x:c>
      <x:c r="I6" s="249" t="n">
        <x:f>E6*G6</x:f>
        <x:v>12</x:v>
      </x:c>
      <x:c r="J6" s="249" t="n">
        <x:f>I6*12</x:f>
        <x:v>144</x:v>
      </x:c>
      <x:c r="K6" s="219" t="str">
        <x:f>TEXT(E6,"0.00")&amp;" × "&amp;TEXT(G6,"0.00")</x:f>
        <x:v>100.00 × 0.12</x:v>
      </x:c>
      <x:c r="L6" s="223" t="str">
        <x:v>https://help.aliyun.com/zh/oss/storage-fees</x:v>
      </x:c>
      <x:c r="M6" s="219" t="str">
        <x:v>头像、聊天图片、报告和商品图片；初期平均占用100GB</x:v>
      </x:c>
    </x:row>
    <x:row r="7" ht="56" customHeight="1">
      <x:c r="A7" s="247" t="n">
        <x:v>3</x:v>
      </x:c>
      <x:c r="B7" s="219" t="str">
        <x:v>CDN</x:v>
      </x:c>
      <x:c r="C7" s="219" t="str">
        <x:v>中国内地下行流量 0-10TB档</x:v>
      </x:c>
      <x:c r="D7" s="247" t="str">
        <x:v>按量计费（按实际下行GB）</x:v>
      </x:c>
      <x:c r="E7" s="251" t="n">
        <x:v>200</x:v>
      </x:c>
      <x:c r="F7" s="247" t="str">
        <x:v>GB</x:v>
      </x:c>
      <x:c r="G7" s="249" t="n">
        <x:v>0.24</x:v>
      </x:c>
      <x:c r="H7" s="249" t="str">
        <x:v>元/GB</x:v>
      </x:c>
      <x:c r="I7" s="249" t="n">
        <x:f>E7*G7</x:f>
        <x:v>48</x:v>
      </x:c>
      <x:c r="J7" s="249" t="n">
        <x:f>I7*12</x:f>
        <x:v>576</x:v>
      </x:c>
      <x:c r="K7" s="219" t="str">
        <x:f>TEXT(E7,"0.00")&amp;" × "&amp;TEXT(G7,"0.00")</x:f>
        <x:v>200.00 × 0.24</x:v>
      </x:c>
      <x:c r="L7" s="223" t="str">
        <x:v>https://help.aliyun.com/zh/cdn/product-overview/billing-rules-of-basic-services</x:v>
      </x:c>
      <x:c r="M7" s="219" t="str">
        <x:v>前期每月200GB；流量超过阶梯后单价变化</x:v>
      </x:c>
    </x:row>
    <x:row r="8" ht="56" customHeight="1">
      <x:c r="A8" s="247" t="n">
        <x:v>4</x:v>
      </x:c>
      <x:c r="B8" s="219" t="str">
        <x:v>OSS</x:v>
      </x:c>
      <x:c r="C8" s="219" t="str">
        <x:v>CDN回源流出流量</x:v>
      </x:c>
      <x:c r="D8" s="247" t="str">
        <x:v>按量计费（按实际回源GB）</x:v>
      </x:c>
      <x:c r="E8" s="251" t="n">
        <x:v>40</x:v>
      </x:c>
      <x:c r="F8" s="247" t="str">
        <x:v>GB</x:v>
      </x:c>
      <x:c r="G8" s="249" t="n">
        <x:v>0.15</x:v>
      </x:c>
      <x:c r="H8" s="249" t="str">
        <x:v>元/GB</x:v>
      </x:c>
      <x:c r="I8" s="249" t="n">
        <x:f>E8*G8</x:f>
        <x:v>6</x:v>
      </x:c>
      <x:c r="J8" s="249" t="n">
        <x:f>I8*12</x:f>
        <x:v>72</x:v>
      </x:c>
      <x:c r="K8" s="219" t="str">
        <x:f>TEXT(E8,"0.00")&amp;" × "&amp;TEXT(G8,"0.00")</x:f>
        <x:v>40.00 × 0.15</x:v>
      </x:c>
      <x:c r="L8" s="223" t="str">
        <x:v>https://help.aliyun.com/zh/oss/billing-examples</x:v>
      </x:c>
      <x:c r="M8" s="219" t="str">
        <x:v>假设CDN回源40GB/月；命中率越高则越低</x:v>
      </x:c>
    </x:row>
    <x:row r="9" ht="56" customHeight="1">
      <x:c r="A9" s="247" t="n">
        <x:v>5</x:v>
      </x:c>
      <x:c r="B9" s="219" t="str">
        <x:v>OSS</x:v>
      </x:c>
      <x:c r="C9" s="219" t="str">
        <x:v>GET类请求</x:v>
      </x:c>
      <x:c r="D9" s="247" t="str">
        <x:v>按量计费（按实际请求次数）</x:v>
      </x:c>
      <x:c r="E9" s="251" t="n">
        <x:v>100</x:v>
      </x:c>
      <x:c r="F9" s="247" t="str">
        <x:v>万次</x:v>
      </x:c>
      <x:c r="G9" s="249" t="n">
        <x:v>0.01</x:v>
      </x:c>
      <x:c r="H9" s="249" t="str">
        <x:v>元/万次</x:v>
      </x:c>
      <x:c r="I9" s="249" t="n">
        <x:f>E9*G9</x:f>
        <x:v>1</x:v>
      </x:c>
      <x:c r="J9" s="249" t="n">
        <x:f>I9*12</x:f>
        <x:v>12</x:v>
      </x:c>
      <x:c r="K9" s="219" t="str">
        <x:f>TEXT(E9,"0.00")&amp;" × "&amp;TEXT(G9,"0.00")</x:f>
        <x:v>100.00 × 0.01</x:v>
      </x:c>
      <x:c r="L9" s="223" t="str">
        <x:v>https://help.aliyun.com/zh/oss/billing-examples</x:v>
      </x:c>
      <x:c r="M9" s="219" t="str">
        <x:v>假设100万次GET/月</x:v>
      </x:c>
    </x:row>
    <x:row r="10" ht="56" customHeight="1">
      <x:c r="A10" s="247" t="n">
        <x:v>6</x:v>
      </x:c>
      <x:c r="B10" s="219" t="str">
        <x:v>短信服务</x:v>
      </x:c>
      <x:c r="C10" s="219" t="str">
        <x:v>验证码/通知短信 ≤10万条/月</x:v>
      </x:c>
      <x:c r="D10" s="247" t="str">
        <x:v>按量计费（按实际成功发送条数）</x:v>
      </x:c>
      <x:c r="E10" s="251" t="n">
        <x:v>20</x:v>
      </x:c>
      <x:c r="F10" s="247" t="str">
        <x:v>百条</x:v>
      </x:c>
      <x:c r="G10" s="249" t="n">
        <x:v>4.5</x:v>
      </x:c>
      <x:c r="H10" s="249" t="str">
        <x:v>元/百条</x:v>
      </x:c>
      <x:c r="I10" s="249" t="n">
        <x:f>E10*G10</x:f>
        <x:v>90</x:v>
      </x:c>
      <x:c r="J10" s="249" t="n">
        <x:f>I10*12</x:f>
        <x:v>1080</x:v>
      </x:c>
      <x:c r="K10" s="219" t="str">
        <x:f>TEXT(E10,"0.00")&amp;" × "&amp;TEXT(G10,"0.00")</x:f>
        <x:v>20.00 × 4.50</x:v>
      </x:c>
      <x:c r="L10" s="223" t="str">
        <x:v>https://help.aliyun.com/zh/sms/product-overview/billing-of-messages-sent-to-chinese-mainland</x:v>
      </x:c>
      <x:c r="M10" s="219" t="str">
        <x:v>未折扣原价4.50元/百条；长短信可能拆分计费</x:v>
      </x:c>
    </x:row>
    <x:row r="11" ht="56" customHeight="1">
      <x:c r="A11" s="247" t="n">
        <x:v>7</x:v>
      </x:c>
      <x:c r="B11" s="219" t="str">
        <x:v>阿里云百炼</x:v>
      </x:c>
      <x:c r="C11" s="219" t="str">
        <x:v>qwen3.7-plus 输入Token（≤256K档）</x:v>
      </x:c>
      <x:c r="D11" s="247" t="str">
        <x:v>按量计费（按实际输入Token）</x:v>
      </x:c>
      <x:c r="E11" s="251" t="n">
        <x:v>25</x:v>
      </x:c>
      <x:c r="F11" s="247" t="str">
        <x:v>百万Token</x:v>
      </x:c>
      <x:c r="G11" s="249" t="n">
        <x:v>2</x:v>
      </x:c>
      <x:c r="H11" s="249" t="str">
        <x:v>元/百万Token</x:v>
      </x:c>
      <x:c r="I11" s="249" t="n">
        <x:f>E11*G11</x:f>
        <x:v>50</x:v>
      </x:c>
      <x:c r="J11" s="249" t="n">
        <x:f>I11*12</x:f>
        <x:v>600</x:v>
      </x:c>
      <x:c r="K11" s="219" t="str">
        <x:f>TEXT(E11,"0.00")&amp;" × "&amp;TEXT(G11,"0.00")</x:f>
        <x:v>25.00 × 2.00</x:v>
      </x:c>
      <x:c r="L11" s="223" t="str">
        <x:v>https://help.aliyun.com/zh/model-studio/model-pricing</x:v>
      </x:c>
      <x:c r="M11" s="219" t="str">
        <x:v>按原价，不计页面限时折扣；约1万次×2,500输入Token</x:v>
      </x:c>
    </x:row>
    <x:row r="12" ht="56" customHeight="1">
      <x:c r="A12" s="247" t="n">
        <x:v>8</x:v>
      </x:c>
      <x:c r="B12" s="219" t="str">
        <x:v>阿里云百炼</x:v>
      </x:c>
      <x:c r="C12" s="219" t="str">
        <x:v>qwen3.7-plus 输出Token（≤256K档）</x:v>
      </x:c>
      <x:c r="D12" s="247" t="str">
        <x:v>按量计费（按实际输出Token）</x:v>
      </x:c>
      <x:c r="E12" s="251" t="n">
        <x:v>10</x:v>
      </x:c>
      <x:c r="F12" s="247" t="str">
        <x:v>百万Token</x:v>
      </x:c>
      <x:c r="G12" s="249" t="n">
        <x:v>8</x:v>
      </x:c>
      <x:c r="H12" s="249" t="str">
        <x:v>元/百万Token</x:v>
      </x:c>
      <x:c r="I12" s="249" t="n">
        <x:f>E12*G12</x:f>
        <x:v>80</x:v>
      </x:c>
      <x:c r="J12" s="249" t="n">
        <x:f>I12*12</x:f>
        <x:v>960</x:v>
      </x:c>
      <x:c r="K12" s="219" t="str">
        <x:f>TEXT(E12,"0.00")&amp;" × "&amp;TEXT(G12,"0.00")</x:f>
        <x:v>10.00 × 8.00</x:v>
      </x:c>
      <x:c r="L12" s="223" t="str">
        <x:v>https://help.aliyun.com/zh/model-studio/model-pricing</x:v>
      </x:c>
      <x:c r="M12" s="219" t="str">
        <x:v>按原价，不计页面限时折扣；约1万次×1,000输出Token</x:v>
      </x:c>
    </x:row>
    <x:row r="13" ht="56" customHeight="1">
      <x:c r="A13" s="247" t="n">
        <x:v>9</x:v>
      </x:c>
      <x:c r="B13" s="219" t="str">
        <x:v>SLS日志服务</x:v>
      </x:c>
      <x:c r="C13" s="219" t="str">
        <x:v>原始写入数据量</x:v>
      </x:c>
      <x:c r="D13" s="247" t="str">
        <x:v>按量计费（按实际写入GB）</x:v>
      </x:c>
      <x:c r="E13" s="251" t="n">
        <x:v>5</x:v>
      </x:c>
      <x:c r="F13" s="247" t="str">
        <x:v>GB</x:v>
      </x:c>
      <x:c r="G13" s="249" t="n">
        <x:v>0.4</x:v>
      </x:c>
      <x:c r="H13" s="249" t="str">
        <x:v>元/GB</x:v>
      </x:c>
      <x:c r="I13" s="249" t="n">
        <x:f>E13*G13</x:f>
        <x:v>2</x:v>
      </x:c>
      <x:c r="J13" s="249" t="n">
        <x:f>I13*12</x:f>
        <x:v>24</x:v>
      </x:c>
      <x:c r="K13" s="219" t="str">
        <x:f>TEXT(E13,"0.00")&amp;" × "&amp;TEXT(G13,"0.00")</x:f>
        <x:v>5.00 × 0.40</x:v>
      </x:c>
      <x:c r="L13" s="223" t="str">
        <x:v>https://help.aliyun.com/zh/sls/overview-11</x:v>
      </x:c>
      <x:c r="M13" s="219" t="str">
        <x:v>API、错误、审计日志合计5GB/月</x:v>
      </x:c>
    </x:row>
    <x:row r="14" ht="56" customHeight="1">
      <x:c r="A14" s="247" t="n">
        <x:v>10</x:v>
      </x:c>
      <x:c r="B14" s="219" t="str">
        <x:v>SLS日志服务</x:v>
      </x:c>
      <x:c r="C14" s="219" t="str">
        <x:v>日志索引流量</x:v>
      </x:c>
      <x:c r="D14" s="247" t="str">
        <x:v>按量计费（按实际索引GB）</x:v>
      </x:c>
      <x:c r="E14" s="251" t="n">
        <x:v>5</x:v>
      </x:c>
      <x:c r="F14" s="247" t="str">
        <x:v>GB</x:v>
      </x:c>
      <x:c r="G14" s="249" t="n">
        <x:v>0.35</x:v>
      </x:c>
      <x:c r="H14" s="249" t="str">
        <x:v>元/GB</x:v>
      </x:c>
      <x:c r="I14" s="249" t="n">
        <x:f>E14*G14</x:f>
        <x:v>1.75</x:v>
      </x:c>
      <x:c r="J14" s="249" t="n">
        <x:f>I14*12</x:f>
        <x:v>21</x:v>
      </x:c>
      <x:c r="K14" s="219" t="str">
        <x:f>TEXT(E14,"0.00")&amp;" × "&amp;TEXT(G14,"0.00")</x:f>
        <x:v>5.00 × 0.35</x:v>
      </x:c>
      <x:c r="L14" s="223" t="str">
        <x:v>https://help.aliyun.com/zh/sls/overview-11</x:v>
      </x:c>
      <x:c r="M14" s="219" t="str">
        <x:v>假设全部日志建立索引</x:v>
      </x:c>
    </x:row>
    <x:row r="15" ht="56" customHeight="1">
      <x:c r="A15" s="247" t="n">
        <x:v>11</x:v>
      </x:c>
      <x:c r="B15" s="219" t="str">
        <x:v>SLS日志服务</x:v>
      </x:c>
      <x:c r="C15" s="219" t="str">
        <x:v>日志热存储</x:v>
      </x:c>
      <x:c r="D15" s="247" t="str">
        <x:v>按量计费（按实际GB·天）</x:v>
      </x:c>
      <x:c r="E15" s="251" t="n">
        <x:v>1.5</x:v>
      </x:c>
      <x:c r="F15" s="247" t="str">
        <x:v>百GB·天</x:v>
      </x:c>
      <x:c r="G15" s="249" t="n">
        <x:v>1.15</x:v>
      </x:c>
      <x:c r="H15" s="249" t="str">
        <x:v>元/百GB·天</x:v>
      </x:c>
      <x:c r="I15" s="249" t="n">
        <x:f>E15*G15</x:f>
        <x:v>1.7249999999999999</x:v>
      </x:c>
      <x:c r="J15" s="249" t="n">
        <x:f>I15*12</x:f>
        <x:v>20.7</x:v>
      </x:c>
      <x:c r="K15" s="219" t="str">
        <x:f>TEXT(E15,"0.00")&amp;" × "&amp;TEXT(G15,"0.00")</x:f>
        <x:v>1.50 × 1.15</x:v>
      </x:c>
      <x:c r="L15" s="223" t="str">
        <x:v>https://help.aliyun.com/zh/sls/overview-11</x:v>
      </x:c>
      <x:c r="M15" s="219" t="str">
        <x:v>未折扣原价1.15元/百GB·天；平均5GB保留30天</x:v>
      </x:c>
    </x:row>
    <x:row r="16" ht="56" customHeight="1">
      <x:c r="A16" s="247" t="n">
        <x:v>12</x:v>
      </x:c>
      <x:c r="B16" s="219" t="str">
        <x:v>ECS快照</x:v>
      </x:c>
      <x:c r="C16" s="219" t="str">
        <x:v>标准快照（杭州）</x:v>
      </x:c>
      <x:c r="D16" s="247" t="str">
        <x:v>按量计费（按实际快照GB·月）</x:v>
      </x:c>
      <x:c r="E16" s="251" t="n">
        <x:v>150</x:v>
      </x:c>
      <x:c r="F16" s="247" t="str">
        <x:v>GB·月</x:v>
      </x:c>
      <x:c r="G16" s="249" t="n">
        <x:v>0.12</x:v>
      </x:c>
      <x:c r="H16" s="249" t="str">
        <x:v>元/GB·月</x:v>
      </x:c>
      <x:c r="I16" s="249" t="n">
        <x:f>E16*G16</x:f>
        <x:v>18</x:v>
      </x:c>
      <x:c r="J16" s="249" t="n">
        <x:f>I16*12</x:f>
        <x:v>216</x:v>
      </x:c>
      <x:c r="K16" s="219" t="str">
        <x:f>TEXT(E16,"0.00")&amp;" × "&amp;TEXT(G16,"0.00")</x:f>
        <x:v>150.00 × 0.12</x:v>
      </x:c>
      <x:c r="L16" s="223" t="str">
        <x:v>https://help.aliyun.com/zh/ecs/snapshots-1</x:v>
      </x:c>
      <x:c r="M16" s="219" t="str">
        <x:v>三台ECS快照；沿用每台平均50GB假设，合计150GB；实际账单随增量容量变化</x:v>
      </x:c>
    </x:row>
    <x:row r="17" ht="56" customHeight="1">
      <x:c r="A17" s="261" t="n">
        <x:v>13</x:v>
      </x:c>
      <x:c r="B17" s="261" t="str">
        <x:v>应用型负载均衡ALB</x:v>
      </x:c>
      <x:c r="C17" s="261" t="str">
        <x:v>标准版实例费</x:v>
      </x:c>
      <x:c r="D17" s="261" t="str">
        <x:v>按量付费（实例费按小时）</x:v>
      </x:c>
      <x:c r="E17" s="263" t="n">
        <x:v>7.2</x:v>
      </x:c>
      <x:c r="F17" s="261" t="str">
        <x:v>百小时</x:v>
      </x:c>
      <x:c r="G17" s="264" t="n">
        <x:v>14.7</x:v>
      </x:c>
      <x:c r="H17" s="261" t="str">
        <x:v>元/百小时</x:v>
      </x:c>
      <x:c r="I17" s="264" t="n">
        <x:f>E17*G17</x:f>
        <x:v>105.84</x:v>
      </x:c>
      <x:c r="J17" s="264" t="n">
        <x:f>I17*12</x:f>
        <x:v>1270.08</x:v>
      </x:c>
      <x:c r="K17" s="261" t="str">
        <x:f>TEXT(E17,"0.00")&amp;" × "&amp;TEXT(G17,"0.00")</x:f>
        <x:v>7.20 × 14.70</x:v>
      </x:c>
      <x:c r="L17" s="261" t="str">
        <x:v>https://help.aliyun.com/zh/slb/application-load-balancer/alb-billing-rules</x:v>
      </x:c>
      <x:c r="M17" s="261" t="str">
        <x:v>公网ALB；标准版；1个实例；运行720小时/月；官方目录价0.147元/小时</x:v>
      </x:c>
    </x:row>
    <x:row r="18" ht="28" customHeight="1">
      <x:c r="A18" s="267" t="str">
        <x:v>按量预估费用小计</x:v>
      </x:c>
      <x:c r="B18" s="267"/>
      <x:c r="C18" s="267"/>
      <x:c r="D18" s="267"/>
      <x:c r="E18" s="267" t="str">
        <x:v>实际账单随真实用量变化</x:v>
      </x:c>
      <x:c r="F18" s="267"/>
      <x:c r="G18" s="267"/>
      <x:c r="H18" s="267"/>
      <x:c r="I18" s="268" t="n">
        <x:f>SUM(I5:I17)</x:f>
        <x:v>419.8430000000001</x:v>
      </x:c>
      <x:c r="J18" s="268" t="n">
        <x:f>SUM(J5:J17)</x:f>
        <x:v>5038.116</x:v>
      </x:c>
      <x:c r="K18" s="267"/>
      <x:c r="L18" s="267"/>
      <x:c r="M18" s="267"/>
    </x:row>
  </x:sheetData>
  <x:mergeCells>
    <x:mergeCell ref="A1:M1"/>
    <x:mergeCell ref="A2:M2"/>
    <x:mergeCell ref="A18:D18"/>
    <x:mergeCell ref="E18:H18"/>
  </x:mergeCells>
  <x:pageMargins left="0.7" right="0.7" top="0.75" bottom="0.75" header="0.3" footer="0.3"/>
  <x:legacyDrawing xmlns:r="http://schemas.openxmlformats.org/officeDocument/2006/relationships" r:id="Rb19b2eeff9c548d2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31" hidden="0" customWidth="1"/>
    <x:col min="4" max="4" width="55" hidden="0" customWidth="1"/>
    <x:col min="5" max="5" width="20" hidden="0" customWidth="1"/>
    <x:col min="6" max="6" width="13" hidden="0" customWidth="1"/>
    <x:col min="7" max="7" width="16" hidden="0" customWidth="1"/>
    <x:col min="8" max="8" width="37" hidden="0" customWidth="1"/>
  </x:cols>
  <x:sheetData>
    <x:row r="1" ht="34" customHeight="1">
      <x:c r="A1" s="195" t="str">
        <x:v>价格来源与报价口径</x:v>
      </x:c>
      <x:c r="B1" s="195"/>
      <x:c r="C1" s="195"/>
      <x:c r="D1" s="195"/>
      <x:c r="E1" s="195"/>
      <x:c r="F1" s="195"/>
      <x:c r="G1" s="195"/>
      <x:c r="H1" s="195"/>
    </x:row>
    <x:row r="2" ht="42" customHeight="1">
      <x:c r="A2" s="7" t="str">
        <x:v>ALB标准版实例费和ECS规格已核对官方文档；ECS升级月单价为原表预算推算，尚未取得杭州实时原价，其余项目沿用原价格来源记录。</x:v>
      </x:c>
      <x:c r="B2" s="7"/>
      <x:c r="C2" s="7"/>
      <x:c r="D2" s="7"/>
      <x:c r="E2" s="7"/>
      <x:c r="F2" s="7"/>
      <x:c r="G2" s="7"/>
      <x:c r="H2" s="7"/>
    </x:row>
    <x:row r="3">
      <x:c r="A3" s="198"/>
      <x:c r="B3" s="198"/>
      <x:c r="C3" s="198"/>
      <x:c r="D3" s="198"/>
      <x:c r="E3" s="198"/>
      <x:c r="F3" s="198"/>
      <x:c r="G3" s="198"/>
      <x:c r="H3" s="198"/>
    </x:row>
    <x:row r="4" ht="36" customHeight="1">
      <x:c r="A4" s="13" t="str">
        <x:v>序号</x:v>
      </x:c>
      <x:c r="B4" s="13" t="str">
        <x:v>产品/计费项</x:v>
      </x:c>
      <x:c r="C4" s="13" t="str">
        <x:v>本表采用的未折扣原价</x:v>
      </x:c>
      <x:c r="D4" s="13" t="str">
        <x:v>官方来源URL</x:v>
      </x:c>
      <x:c r="E4" s="13" t="str">
        <x:v>来源类型</x:v>
      </x:c>
      <x:c r="F4" s="13" t="str">
        <x:v>核对日期</x:v>
      </x:c>
      <x:c r="G4" s="13" t="str">
        <x:v>是否按量</x:v>
      </x:c>
      <x:c r="H4" s="13" t="str">
        <x:v>说明</x:v>
      </x:c>
    </x:row>
    <x:row r="5" ht="52" customHeight="1">
      <x:c r="A5" s="244" t="n">
        <x:v>1</x:v>
      </x:c>
      <x:c r="B5" s="213" t="str">
        <x:v>ECS 4核8GiB计算资源</x:v>
      </x:c>
      <x:c r="C5" s="213" t="str">
        <x:f>"¥"&amp;TEXT(E27,"0.00")&amp;"/台·月（暂估，待询价）"</x:f>
        <x:v>¥337.20/台·月（暂估，待询价）</x:v>
      </x:c>
      <x:c r="D5" s="217" t="str">
        <x:v>https://ecs-buy.aliyun.com/price</x:v>
      </x:c>
      <x:c r="E5" s="213" t="str">
        <x:v>预算推算；规格已核对</x:v>
      </x:c>
      <x:c r="F5" s="252" t="n">
        <x:v>46268</x:v>
      </x:c>
      <x:c r="G5" s="244" t="str">
        <x:v>否</x:v>
      </x:c>
      <x:c r="H5" s="213" t="str">
        <x:v>ecs.u1-c1m2.xlarge；3台；单价推算见本页第27行，采购前按杭州地域核价</x:v>
      </x:c>
    </x:row>
    <x:row r="6" ht="52" customHeight="1">
      <x:c r="A6" s="247" t="n">
        <x:v>2</x:v>
      </x:c>
      <x:c r="B6" s="219" t="str">
        <x:v>ESSD Entry系统盘</x:v>
      </x:c>
      <x:c r="C6" s="219" t="str">
        <x:v>¥0.20/GiB·月（预算输入）</x:v>
      </x:c>
      <x:c r="D6" s="223" t="str">
        <x:v>https://help.aliyun.com/zh/ecs/user-guide/elastic-block-storage-devices</x:v>
      </x:c>
      <x:c r="E6" s="219" t="str">
        <x:v>官方产品/计费说明</x:v>
      </x:c>
      <x:c r="F6" s="253" t="n">
        <x:v>46268</x:v>
      </x:c>
      <x:c r="G6" s="247" t="str">
        <x:v>否（每台100GiB）</x:v>
      </x:c>
      <x:c r="H6" s="219" t="str">
        <x:v>3台合计300GiB；每台100GiB，容量单价沿用原预算</x:v>
      </x:c>
    </x:row>
    <x:row r="7" ht="52" customHeight="1">
      <x:c r="A7" s="247" t="n">
        <x:v>3</x:v>
      </x:c>
      <x:c r="B7" s="219" t="str">
        <x:v>ALB标准版实例费</x:v>
      </x:c>
      <x:c r="C7" s="219" t="str">
        <x:v>¥14.70/百小时（¥0.147/小时）</x:v>
      </x:c>
      <x:c r="D7" s="223" t="str">
        <x:v>https://help.aliyun.com/zh/slb/application-load-balancer/alb-billing-rules</x:v>
      </x:c>
      <x:c r="E7" s="219" t="str">
        <x:v>官方明确列价</x:v>
      </x:c>
      <x:c r="F7" s="253" t="n">
        <x:v>46268</x:v>
      </x:c>
      <x:c r="G7" s="247" t="str">
        <x:v>是（按小时）</x:v>
      </x:c>
      <x:c r="H7" s="219" t="str">
        <x:v>1个公网标准版ALB；按720小时/月测算；官方目录实例费已核对</x:v>
      </x:c>
    </x:row>
    <x:row r="8" ht="52" customHeight="1">
      <x:c r="A8" s="247" t="n">
        <x:v>4</x:v>
      </x:c>
      <x:c r="B8" s="219" t="str">
        <x:v>ALB性能容量单位LCU</x:v>
      </x:c>
      <x:c r="C8" s="219" t="str">
        <x:v>¥4.90/百LCU·小时</x:v>
      </x:c>
      <x:c r="D8" s="223" t="str">
        <x:v>https://help.aliyun.com/zh/slb/application-load-balancer/alb-billing-rules</x:v>
      </x:c>
      <x:c r="E8" s="219" t="str">
        <x:v>官方明确列价</x:v>
      </x:c>
      <x:c r="F8" s="253" t="n">
        <x:v>46268</x:v>
      </x:c>
      <x:c r="G8" s="247" t="str">
        <x:v>是</x:v>
      </x:c>
      <x:c r="H8" s="219" t="str">
        <x:v>按实际LCU使用量；本表假设平均0.10 LCU</x:v>
      </x:c>
    </x:row>
    <x:row r="9" ht="52" customHeight="1">
      <x:c r="A9" s="247" t="n">
        <x:v>5</x:v>
      </x:c>
      <x:c r="B9" s="219" t="str">
        <x:v>ALB 5Mbps固定公网带宽</x:v>
      </x:c>
      <x:c r="C9" s="219" t="str">
        <x:v>¥125.00/月（预算输入）</x:v>
      </x:c>
      <x:c r="D9" s="223" t="str">
        <x:v>https://help.aliyun.com/zh/ecs/user-guide/billing-for-public-bandwidth</x:v>
      </x:c>
      <x:c r="E9" s="219" t="str">
        <x:v>官方计费说明</x:v>
      </x:c>
      <x:c r="F9" s="253" t="n">
        <x:v>46268</x:v>
      </x:c>
      <x:c r="G9" s="247" t="str">
        <x:v>否</x:v>
      </x:c>
      <x:c r="H9" s="219" t="str">
        <x:v>公网入口位于ALB，后端ECS不绑定公网带宽</x:v>
      </x:c>
    </x:row>
    <x:row r="10" ht="52" customHeight="1">
      <x:c r="A10" s="247" t="n">
        <x:v>6</x:v>
      </x:c>
      <x:c r="B10" s="219" t="str">
        <x:v>RDS MySQL 2核4G计算</x:v>
      </x:c>
      <x:c r="C10" s="219" t="str">
        <x:v>¥68.00/实例·月（预算输入）</x:v>
      </x:c>
      <x:c r="D10" s="223" t="str">
        <x:v>https://www.aliyun.com/price/product#/rds/detail</x:v>
      </x:c>
      <x:c r="E10" s="219" t="str">
        <x:v>官方动态询价器</x:v>
      </x:c>
      <x:c r="F10" s="253" t="n">
        <x:v>46268</x:v>
      </x:c>
      <x:c r="G10" s="247" t="str">
        <x:v>否</x:v>
      </x:c>
      <x:c r="H10" s="219" t="str">
        <x:v>mysql.n2e.medium.1（倚天版）；基础系列</x:v>
      </x:c>
    </x:row>
    <x:row r="11" ht="52" customHeight="1">
      <x:c r="A11" s="247" t="n">
        <x:v>7</x:v>
      </x:c>
      <x:c r="B11" s="219" t="str">
        <x:v>RDS MySQL规格</x:v>
      </x:c>
      <x:c r="C11" s="219" t="str">
        <x:v>2核4GB / 基础系列</x:v>
      </x:c>
      <x:c r="D11" s="223" t="str">
        <x:v>https://help.aliyun.com/zh/rds/apsaradb-rds-for-mysql/primary-apsaradb-rds-for-mysql-instance-types-5</x:v>
      </x:c>
      <x:c r="E11" s="219" t="str">
        <x:v>官方规格文档</x:v>
      </x:c>
      <x:c r="F11" s="253" t="n">
        <x:v>46268</x:v>
      </x:c>
      <x:c r="G11" s="247" t="str">
        <x:v>否</x:v>
      </x:c>
      <x:c r="H11" s="219" t="str">
        <x:v>规格代码与最大连接数等以文档为准</x:v>
      </x:c>
    </x:row>
    <x:row r="12" ht="52" customHeight="1">
      <x:c r="A12" s="247" t="n">
        <x:v>8</x:v>
      </x:c>
      <x:c r="B12" s="219" t="str">
        <x:v>OSS标准存储LRS</x:v>
      </x:c>
      <x:c r="C12" s="219" t="str">
        <x:v>¥0.12/GB·月</x:v>
      </x:c>
      <x:c r="D12" s="223" t="str">
        <x:v>https://help.aliyun.com/zh/oss/storage-fees</x:v>
      </x:c>
      <x:c r="E12" s="219" t="str">
        <x:v>官方明确列价</x:v>
      </x:c>
      <x:c r="F12" s="253" t="n">
        <x:v>46268</x:v>
      </x:c>
      <x:c r="G12" s="247" t="str">
        <x:v>是</x:v>
      </x:c>
      <x:c r="H12" s="219" t="str">
        <x:v>按实际容量和存储时长计费</x:v>
      </x:c>
    </x:row>
    <x:row r="13" ht="52" customHeight="1">
      <x:c r="A13" s="247" t="n">
        <x:v>9</x:v>
      </x:c>
      <x:c r="B13" s="219" t="str">
        <x:v>CDN中国内地下行流量</x:v>
      </x:c>
      <x:c r="C13" s="219" t="str">
        <x:v>¥0.24/GB（0-10TB档）</x:v>
      </x:c>
      <x:c r="D13" s="223" t="str">
        <x:v>https://help.aliyun.com/zh/cdn/product-overview/billing-rules-of-basic-services</x:v>
      </x:c>
      <x:c r="E13" s="219" t="str">
        <x:v>官方明确列价</x:v>
      </x:c>
      <x:c r="F13" s="253" t="n">
        <x:v>46268</x:v>
      </x:c>
      <x:c r="G13" s="247" t="str">
        <x:v>是</x:v>
      </x:c>
      <x:c r="H13" s="219" t="str">
        <x:v>按实际下行流量；阶梯计价</x:v>
      </x:c>
    </x:row>
    <x:row r="14" ht="52" customHeight="1">
      <x:c r="A14" s="247" t="n">
        <x:v>10</x:v>
      </x:c>
      <x:c r="B14" s="219" t="str">
        <x:v>OSS CDN回源流出</x:v>
      </x:c>
      <x:c r="C14" s="219" t="str">
        <x:v>¥0.15/GB</x:v>
      </x:c>
      <x:c r="D14" s="223" t="str">
        <x:v>https://help.aliyun.com/zh/oss/billing-examples</x:v>
      </x:c>
      <x:c r="E14" s="219" t="str">
        <x:v>官方计费案例</x:v>
      </x:c>
      <x:c r="F14" s="253" t="n">
        <x:v>46268</x:v>
      </x:c>
      <x:c r="G14" s="247" t="str">
        <x:v>是</x:v>
      </x:c>
      <x:c r="H14" s="219" t="str">
        <x:v>按实际回源流量</x:v>
      </x:c>
    </x:row>
    <x:row r="15" ht="52" customHeight="1">
      <x:c r="A15" s="247" t="n">
        <x:v>11</x:v>
      </x:c>
      <x:c r="B15" s="219" t="str">
        <x:v>OSS GET请求</x:v>
      </x:c>
      <x:c r="C15" s="219" t="str">
        <x:v>¥0.01/万次</x:v>
      </x:c>
      <x:c r="D15" s="223" t="str">
        <x:v>https://help.aliyun.com/zh/oss/billing-examples</x:v>
      </x:c>
      <x:c r="E15" s="219" t="str">
        <x:v>官方计费案例</x:v>
      </x:c>
      <x:c r="F15" s="253" t="n">
        <x:v>46268</x:v>
      </x:c>
      <x:c r="G15" s="247" t="str">
        <x:v>是</x:v>
      </x:c>
      <x:c r="H15" s="219" t="str">
        <x:v>按实际请求次数</x:v>
      </x:c>
    </x:row>
    <x:row r="16" ht="52" customHeight="1">
      <x:c r="A16" s="247" t="n">
        <x:v>12</x:v>
      </x:c>
      <x:c r="B16" s="219" t="str">
        <x:v>国内验证码/通知短信</x:v>
      </x:c>
      <x:c r="C16" s="219" t="str">
        <x:v>¥4.50/百条（≤10万条/月）</x:v>
      </x:c>
      <x:c r="D16" s="223" t="str">
        <x:v>https://help.aliyun.com/zh/sms/product-overview/billing-of-messages-sent-to-chinese-mainland</x:v>
      </x:c>
      <x:c r="E16" s="219" t="str">
        <x:v>官方明确列价</x:v>
      </x:c>
      <x:c r="F16" s="253" t="n">
        <x:v>46268</x:v>
      </x:c>
      <x:c r="G16" s="247" t="str">
        <x:v>是</x:v>
      </x:c>
      <x:c r="H16" s="219" t="str">
        <x:v>按成功发送条数；长短信拆分计费</x:v>
      </x:c>
    </x:row>
    <x:row r="17" ht="52" customHeight="1">
      <x:c r="A17" s="247" t="n">
        <x:v>13</x:v>
      </x:c>
      <x:c r="B17" s="219" t="str">
        <x:v>qwen3.7-plus 输入Token</x:v>
      </x:c>
      <x:c r="C17" s="219" t="str">
        <x:v>原价¥2.00/百万Token（≤256K档）</x:v>
      </x:c>
      <x:c r="D17" s="223" t="str">
        <x:v>https://help.aliyun.com/zh/model-studio/model-pricing</x:v>
      </x:c>
      <x:c r="E17" s="219" t="str">
        <x:v>官方明确原价</x:v>
      </x:c>
      <x:c r="F17" s="253" t="n">
        <x:v>46268</x:v>
      </x:c>
      <x:c r="G17" s="247" t="str">
        <x:v>是</x:v>
      </x:c>
      <x:c r="H17" s="219" t="str">
        <x:v>页面若有临时折扣，本表不采用</x:v>
      </x:c>
    </x:row>
    <x:row r="18" ht="52" customHeight="1">
      <x:c r="A18" s="247" t="n">
        <x:v>14</x:v>
      </x:c>
      <x:c r="B18" s="219" t="str">
        <x:v>qwen3.7-plus 输出Token</x:v>
      </x:c>
      <x:c r="C18" s="219" t="str">
        <x:v>原价¥8.00/百万Token（≤256K档）</x:v>
      </x:c>
      <x:c r="D18" s="223" t="str">
        <x:v>https://help.aliyun.com/zh/model-studio/model-pricing</x:v>
      </x:c>
      <x:c r="E18" s="219" t="str">
        <x:v>官方明确原价</x:v>
      </x:c>
      <x:c r="F18" s="253" t="n">
        <x:v>46268</x:v>
      </x:c>
      <x:c r="G18" s="247" t="str">
        <x:v>是</x:v>
      </x:c>
      <x:c r="H18" s="219" t="str">
        <x:v>页面若有临时折扣，本表不采用</x:v>
      </x:c>
    </x:row>
    <x:row r="19" ht="52" customHeight="1">
      <x:c r="A19" s="247" t="n">
        <x:v>15</x:v>
      </x:c>
      <x:c r="B19" s="219" t="str">
        <x:v>ECS标准快照（杭州）</x:v>
      </x:c>
      <x:c r="C19" s="219" t="str">
        <x:v>¥0.12/GB·月</x:v>
      </x:c>
      <x:c r="D19" s="223" t="str">
        <x:v>https://help.aliyun.com/zh/ecs/snapshots-1</x:v>
      </x:c>
      <x:c r="E19" s="219" t="str">
        <x:v>官方明确列价</x:v>
      </x:c>
      <x:c r="F19" s="253" t="n">
        <x:v>46268</x:v>
      </x:c>
      <x:c r="G19" s="247" t="str">
        <x:v>是</x:v>
      </x:c>
      <x:c r="H19" s="219" t="str">
        <x:v>按三台ECS实际快照容量计费；本次用量假设150GB，单价沿用原预算</x:v>
      </x:c>
    </x:row>
    <x:row r="20" ht="52" customHeight="1">
      <x:c r="A20" s="247" t="n">
        <x:v>16</x:v>
      </x:c>
      <x:c r="B20" s="219" t="str">
        <x:v>RDS ESSD PL0存储</x:v>
      </x:c>
      <x:c r="C20" s="219" t="str">
        <x:v>¥0.40/GiB·月（预算输入）</x:v>
      </x:c>
      <x:c r="D20" s="223" t="str">
        <x:v>https://www.aliyun.com/price/product#/rds/detail</x:v>
      </x:c>
      <x:c r="E20" s="219" t="str">
        <x:v>官方动态询价器</x:v>
      </x:c>
      <x:c r="F20" s="253" t="n">
        <x:v>46268</x:v>
      </x:c>
      <x:c r="G20" s="247" t="str">
        <x:v>否（固定50GiB）</x:v>
      </x:c>
      <x:c r="H20" s="219" t="str">
        <x:v>与RDS实例一并购买；下单页实时核价</x:v>
      </x:c>
    </x:row>
    <x:row r="21" ht="52" customHeight="1">
      <x:c r="A21" s="247" t="n">
        <x:v>17</x:v>
      </x:c>
      <x:c r="B21" s="219" t="str">
        <x:v>SLS原始写入</x:v>
      </x:c>
      <x:c r="C21" s="219" t="str">
        <x:v>¥0.40/GB</x:v>
      </x:c>
      <x:c r="D21" s="223" t="str">
        <x:v>https://help.aliyun.com/zh/sls/overview-11</x:v>
      </x:c>
      <x:c r="E21" s="219" t="str">
        <x:v>官方明确列价</x:v>
      </x:c>
      <x:c r="F21" s="253" t="n">
        <x:v>46268</x:v>
      </x:c>
      <x:c r="G21" s="247" t="str">
        <x:v>是</x:v>
      </x:c>
      <x:c r="H21" s="219" t="str">
        <x:v>按实际写入数据量</x:v>
      </x:c>
    </x:row>
    <x:row r="22" ht="52" customHeight="1">
      <x:c r="A22" s="247" t="n">
        <x:v>18</x:v>
      </x:c>
      <x:c r="B22" s="219" t="str">
        <x:v>SLS日志索引</x:v>
      </x:c>
      <x:c r="C22" s="219" t="str">
        <x:v>¥0.35/GB</x:v>
      </x:c>
      <x:c r="D22" s="223" t="str">
        <x:v>https://help.aliyun.com/zh/sls/overview-11</x:v>
      </x:c>
      <x:c r="E22" s="219" t="str">
        <x:v>官方明确列价</x:v>
      </x:c>
      <x:c r="F22" s="253" t="n">
        <x:v>46268</x:v>
      </x:c>
      <x:c r="G22" s="247" t="str">
        <x:v>是</x:v>
      </x:c>
      <x:c r="H22" s="219" t="str">
        <x:v>按实际索引流量</x:v>
      </x:c>
    </x:row>
    <x:row r="23" ht="52" customHeight="1">
      <x:c r="A23" s="247" t="n">
        <x:v>19</x:v>
      </x:c>
      <x:c r="B23" s="219" t="str">
        <x:v>SLS日志热存储</x:v>
      </x:c>
      <x:c r="C23" s="219" t="str">
        <x:v>¥1.15/百GB·天</x:v>
      </x:c>
      <x:c r="D23" s="223" t="str">
        <x:v>https://help.aliyun.com/zh/sls/overview-11</x:v>
      </x:c>
      <x:c r="E23" s="219" t="str">
        <x:v>官方明确列价</x:v>
      </x:c>
      <x:c r="F23" s="253" t="n">
        <x:v>46268</x:v>
      </x:c>
      <x:c r="G23" s="247" t="str">
        <x:v>是</x:v>
      </x:c>
      <x:c r="H23" s="219" t="str">
        <x:v>按实际存储容量和天数</x:v>
      </x:c>
    </x:row>
    <x:row r="25" ht="30" customHeight="1">
      <x:c r="A25" s="310" t="str">
        <x:v>ECS升级预算输入（未取得杭州当前正式报价）</x:v>
      </x:c>
      <x:c r="B25" s="310"/>
      <x:c r="C25" s="310"/>
      <x:c r="D25" s="310"/>
      <x:c r="E25" s="310"/>
      <x:c r="F25" s="310"/>
      <x:c r="G25" s="310"/>
      <x:c r="H25" s="310"/>
    </x:row>
    <x:row r="26" ht="32" customHeight="1">
      <x:c r="A26" s="312" t="str">
        <x:v>序号</x:v>
      </x:c>
      <x:c r="B26" s="312" t="str">
        <x:v>预算项目</x:v>
      </x:c>
      <x:c r="C26" s="312" t="str">
        <x:v>原表单台月费</x:v>
      </x:c>
      <x:c r="D26" s="312" t="str">
        <x:v>暂估倍数</x:v>
      </x:c>
      <x:c r="E26" s="312" t="str">
        <x:v>暂估单台月费</x:v>
      </x:c>
      <x:c r="F26" s="312" t="str">
        <x:v>单位</x:v>
      </x:c>
      <x:c r="G26" s="312" t="str">
        <x:v>推算依据</x:v>
      </x:c>
      <x:c r="H26" s="312" t="str">
        <x:v>报价状态</x:v>
      </x:c>
    </x:row>
    <x:row r="27" ht="66" customHeight="1">
      <x:c r="A27" s="314" t="n">
        <x:v>1</x:v>
      </x:c>
      <x:c r="B27" s="314" t="str">
        <x:v>ECS 4核8GiB</x:v>
      </x:c>
      <x:c r="C27" s="316" t="n">
        <x:v>168.6</x:v>
      </x:c>
      <x:c r="D27" s="318" t="n">
        <x:v>2</x:v>
      </x:c>
      <x:c r="E27" s="317" t="n">
        <x:f>C27*D27</x:f>
        <x:v>337.2</x:v>
      </x:c>
      <x:c r="F27" s="314" t="str">
        <x:v>元/台·月</x:v>
      </x:c>
      <x:c r="G27" s="314" t="str">
        <x:v>按原表2核4GiB单价的两倍暂估；不代表云厂商线性定价</x:v>
      </x:c>
      <x:c r="H27" s="314" t="str">
        <x:v>待杭州地域正式询价</x:v>
      </x:c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18" hidden="0" customWidth="1"/>
    <x:col min="5" max="5" width="13" hidden="0" customWidth="1"/>
    <x:col min="6" max="6" width="30" hidden="0" customWidth="1"/>
  </x:cols>
  <x:sheetData>
    <x:row r="1" ht="34" customHeight="1">
      <x:c r="A1" s="195" t="str">
        <x:v>价格模型验算</x:v>
      </x:c>
      <x:c r="B1" s="195"/>
      <x:c r="C1" s="195"/>
      <x:c r="D1" s="195"/>
      <x:c r="E1" s="195"/>
      <x:c r="F1" s="195"/>
    </x:row>
    <x:row r="2" ht="42" customHeight="1">
      <x:c r="A2" s="7" t="str">
        <x:v>用于核对固定资源、按量资源、价格总表及月度/年度合计。PASS 仅表示公式一致，不代表云厂商价格永久不变。</x:v>
      </x:c>
      <x:c r="B2" s="7"/>
      <x:c r="C2" s="7"/>
      <x:c r="D2" s="7"/>
      <x:c r="E2" s="7"/>
      <x:c r="F2" s="7"/>
    </x:row>
    <x:row r="3">
      <x:c r="A3" s="198"/>
      <x:c r="B3" s="198"/>
      <x:c r="C3" s="198"/>
      <x:c r="D3" s="198"/>
      <x:c r="E3" s="198"/>
      <x:c r="F3" s="198"/>
    </x:row>
    <x:row r="4" ht="32" customHeight="1">
      <x:c r="A4" s="13" t="str">
        <x:v>检查项</x:v>
      </x:c>
      <x:c r="B4" s="13" t="str">
        <x:v>实际值</x:v>
      </x:c>
      <x:c r="C4" s="13" t="str">
        <x:v>目标/对照值</x:v>
      </x:c>
      <x:c r="D4" s="13" t="str">
        <x:v>差额</x:v>
      </x:c>
      <x:c r="E4" s="13" t="str">
        <x:v>结果</x:v>
      </x:c>
      <x:c r="F4" s="13" t="str">
        <x:v>说明</x:v>
      </x:c>
    </x:row>
    <x:row r="5" ht="32" customHeight="1">
      <x:c r="A5" s="213" t="str">
        <x:v>固定资源月合计</x:v>
      </x:c>
      <x:c r="B5" s="216" t="n">
        <x:f>'价格总表'!A6</x:f>
        <x:v>1292.9333333333332</x:v>
      </x:c>
      <x:c r="C5" s="216" t="n">
        <x:f>'固定资源'!I15</x:f>
        <x:v>1292.9333333333332</x:v>
      </x:c>
      <x:c r="D5" s="216" t="n">
        <x:f>B5-C5</x:f>
        <x:v>0</x:v>
      </x:c>
      <x:c r="E5" s="254" t="str">
        <x:f>IF(ABS(D5)&lt;0.01,"PASS","FAIL")</x:f>
        <x:v>PASS</x:v>
      </x:c>
      <x:c r="F5" s="213" t="str">
        <x:v>汇总表与固定资源表一致</x:v>
      </x:c>
    </x:row>
    <x:row r="6" ht="32" customHeight="1">
      <x:c r="A6" s="219" t="str">
        <x:v>按量资源月合计</x:v>
      </x:c>
      <x:c r="B6" s="222" t="n">
        <x:f>'价格总表'!D6</x:f>
        <x:v>2565.9998932533263</x:v>
      </x:c>
      <x:c r="C6" s="222" t="n">
        <x:f>'按量计费'!I18+'语音房与直播'!H44</x:f>
        <x:v>2565.9998932533263</x:v>
      </x:c>
      <x:c r="D6" s="222" t="n">
        <x:f>B6-C6</x:f>
        <x:v>0</x:v>
      </x:c>
      <x:c r="E6" s="255" t="str">
        <x:f>IF(ABS(D6)&lt;0.01,"PASS","FAIL")</x:f>
        <x:v>PASS</x:v>
      </x:c>
      <x:c r="F6" s="219" t="str">
        <x:v>汇总表与按量计费表一致</x:v>
      </x:c>
    </x:row>
    <x:row r="7" ht="32" customHeight="1">
      <x:c r="A7" s="219" t="str">
        <x:v>测算月支出</x:v>
      </x:c>
      <x:c r="B7" s="222" t="n">
        <x:f>'价格总表'!G6</x:f>
        <x:v>3858.93</x:v>
      </x:c>
      <x:c r="C7" s="222" t="n">
        <x:f>'固定资源'!I15+'按量计费'!I18+'语音房与直播'!H44</x:f>
        <x:v>3858.9332265866597</x:v>
      </x:c>
      <x:c r="D7" s="222" t="n">
        <x:f>B7-C7</x:f>
        <x:v>-0.003226586659820896</x:v>
      </x:c>
      <x:c r="E7" s="255" t="str">
        <x:f>IF(ABS(D7)&lt;0.01,"PASS","FAIL")</x:f>
        <x:v>PASS</x:v>
      </x:c>
      <x:c r="F7" s="219" t="str">
        <x:v>固定 + 按量</x:v>
      </x:c>
    </x:row>
    <x:row r="8" ht="32" customHeight="1">
      <x:c r="A8" s="219" t="str">
        <x:v>测算年支出</x:v>
      </x:c>
      <x:c r="B8" s="222" t="n">
        <x:f>'价格总表'!J6</x:f>
        <x:v>46307.2</x:v>
      </x:c>
      <x:c r="C8" s="222" t="n">
        <x:f>'固定资源'!J15+'按量计费'!J18+'语音房与直播'!I44</x:f>
        <x:v>46307.198719039916</x:v>
      </x:c>
      <x:c r="D8" s="222" t="n">
        <x:f>B8-C8</x:f>
        <x:v>0.001280960081203375</x:v>
      </x:c>
      <x:c r="E8" s="255" t="str">
        <x:f>IF(ABS(D8)&lt;0.01,"PASS","FAIL")</x:f>
        <x:v>PASS</x:v>
      </x:c>
      <x:c r="F8" s="219" t="str">
        <x:v>逐项未舍入年费相加，再统一保留两位小数</x:v>
      </x:c>
    </x:row>
    <x:row r="9" ht="32" customHeight="1">
      <x:c r="A9" s="219" t="str">
        <x:v>总表月金额</x:v>
      </x:c>
      <x:c r="B9" s="222" t="n">
        <x:f>'价格总表'!J44</x:f>
        <x:v>3858.93</x:v>
      </x:c>
      <x:c r="C9" s="222" t="n">
        <x:f>'价格总表'!G6</x:f>
        <x:v>3858.93</x:v>
      </x:c>
      <x:c r="D9" s="222" t="n">
        <x:f>B9-C9</x:f>
        <x:v>0</x:v>
      </x:c>
      <x:c r="E9" s="255" t="str">
        <x:f>IF(ABS(D9)&lt;0.01,"PASS","FAIL")</x:f>
        <x:v>PASS</x:v>
      </x:c>
      <x:c r="F9" s="219" t="str">
        <x:v>全部资源价格表月合计与顶部月合计一致</x:v>
      </x:c>
    </x:row>
    <x:row r="10" ht="32" customHeight="1">
      <x:c r="A10" s="219" t="str">
        <x:v>总表年金额</x:v>
      </x:c>
      <x:c r="B10" s="222" t="n">
        <x:f>'价格总表'!K44</x:f>
        <x:v>46307.2</x:v>
      </x:c>
      <x:c r="C10" s="222" t="n">
        <x:f>'价格总表'!J6</x:f>
        <x:v>46307.2</x:v>
      </x:c>
      <x:c r="D10" s="222" t="n">
        <x:f>B10-C10</x:f>
        <x:v>0</x:v>
      </x:c>
      <x:c r="E10" s="255" t="str">
        <x:f>IF(ABS(D10)&lt;0.01,"PASS","FAIL")</x:f>
        <x:v>PASS</x:v>
      </x:c>
      <x:c r="F10" s="219" t="str">
        <x:v>全部资源价格表年合计与顶部年合计一致</x:v>
      </x:c>
    </x:row>
    <x:row r="11">
      <x:c r="A11" s="256" t="str">
        <x:v>人工复核清单</x:v>
      </x:c>
      <x:c r="B11" s="256"/>
      <x:c r="C11" s="256"/>
      <x:c r="D11" s="256"/>
      <x:c r="E11" s="256"/>
      <x:c r="F11" s="256"/>
    </x:row>
    <x:row r="12" ht="38" customHeight="1">
      <x:c r="A12" s="213" t="str">
        <x:v>1</x:v>
      </x:c>
      <x:c r="B12" s="213" t="str">
        <x:v>采购前核对杭州ecs.u1-c1m2.xlarge（4核8GiB）目录月价，替换当前预算推算单价</x:v>
      </x:c>
      <x:c r="C12" s="213"/>
      <x:c r="D12" s="213"/>
      <x:c r="E12" s="213"/>
      <x:c r="F12" s="213" t="str">
        <x:v>待采购时执行</x:v>
      </x:c>
    </x:row>
    <x:row r="13" ht="38" customHeight="1">
      <x:c r="A13" s="219" t="str">
        <x:v>2</x:v>
      </x:c>
      <x:c r="B13" s="219" t="str">
        <x:v>正式采购前在RDS询价器核对mysql.n2e.medium.1与50GiB存储价格</x:v>
      </x:c>
      <x:c r="C13" s="219"/>
      <x:c r="D13" s="219"/>
      <x:c r="E13" s="219"/>
      <x:c r="F13" s="219" t="str">
        <x:v>待采购时执行</x:v>
      </x:c>
    </x:row>
    <x:row r="14" ht="38" customHeight="1">
      <x:c r="A14" s="219" t="str">
        <x:v>3</x:v>
      </x:c>
      <x:c r="B14" s="219" t="str">
        <x:v>确认AI模型仍使用qwen3.7-plus，且单次上下文处于≤256K价格档</x:v>
      </x:c>
      <x:c r="C14" s="219"/>
      <x:c r="D14" s="219"/>
      <x:c r="E14" s="219"/>
      <x:c r="F14" s="219" t="str">
        <x:v>产品/技术确认</x:v>
      </x:c>
    </x:row>
    <x:row r="15" ht="38" customHeight="1">
      <x:c r="A15" s="219" t="str">
        <x:v>4</x:v>
      </x:c>
      <x:c r="B15" s="219" t="str">
        <x:v>媒体计费明细已独立加总；核对平均人数、直播码率、录制比例及待询价审核费；不计回放费用。</x:v>
      </x:c>
      <x:c r="C15" s="219"/>
      <x:c r="D15" s="219"/>
      <x:c r="E15" s="219"/>
      <x:c r="F15" s="219" t="str">
        <x:v>运营每月更新</x:v>
      </x:c>
    </x:row>
    <x:row r="16" ht="38" customHeight="1">
      <x:c r="A16" s="257" t="str">
        <x:v>5</x:v>
      </x:c>
      <x:c r="B16" s="257" t="str">
        <x:v>确认三台ECS、ALB标准版及5Mbps公网带宽；后端ECS仅走内网</x:v>
      </x:c>
      <x:c r="C16" s="257"/>
      <x:c r="D16" s="257"/>
      <x:c r="E16" s="257"/>
      <x:c r="F16" s="257" t="str">
        <x:v>架构确认</x:v>
      </x:c>
    </x:row>
  </x:sheetData>
  <x:mergeCells>
    <x:mergeCell ref="A1:F1"/>
    <x:mergeCell ref="A2:F2"/>
    <x:mergeCell ref="A11:F11"/>
    <x:mergeCell ref="B12:E12"/>
    <x:mergeCell ref="B13:E13"/>
    <x:mergeCell ref="B14:E14"/>
    <x:mergeCell ref="B15:E15"/>
    <x:mergeCell ref="B16:E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5.5" hidden="0" customWidth="1"/>
    <x:col min="2" max="2" width="20.6299991607666" hidden="0" customWidth="1"/>
    <x:col min="3" max="3" width="23.75" hidden="0" customWidth="1"/>
    <x:col min="4" max="4" width="15.630000114440918" hidden="0" customWidth="1"/>
    <x:col min="5" max="5" width="13.75" hidden="0" customWidth="1"/>
    <x:col min="6" max="6" width="12.5" hidden="0" customWidth="1"/>
    <x:col min="7" max="7" width="15.630000114440918" hidden="0" customWidth="1"/>
    <x:col min="8" max="8" width="15" hidden="0" customWidth="1"/>
    <x:col min="9" max="9" width="16.25" hidden="0" customWidth="1"/>
    <x:col min="10" max="10" width="11.25" hidden="0" customWidth="1"/>
    <x:col min="11" max="11" width="29.3799991607666" hidden="0" customWidth="1"/>
    <x:col min="12" max="12" width="41.25" hidden="0" customWidth="1"/>
  </x:cols>
  <x:sheetData>
    <x:row r="1" ht="32" customHeight="1">
      <x:c r="A1" s="323" t="str">
        <x:v>语音房与直播 · 独立按量预算</x:v>
      </x:c>
      <x:c r="B1" s="323"/>
      <x:c r="C1" s="323"/>
      <x:c r="D1" s="323"/>
      <x:c r="E1" s="323"/>
      <x:c r="F1" s="323"/>
      <x:c r="G1" s="323"/>
      <x:c r="H1" s="323"/>
      <x:c r="I1" s="323"/>
      <x:c r="J1" s="323"/>
      <x:c r="K1" s="323"/>
      <x:c r="L1" s="323"/>
    </x:row>
    <x:row r="2" ht="44" customHeight="1">
      <x:c r="A2" s="321" t="str">
        <x:v>中国内地未折扣目录价；用量是预算假设，不是已确认业务预测。媒体直连阿里云，不经过ECS/ALB公网5Mbps。黄色输入可修改，费用自动汇入价格总表。</x:v>
      </x:c>
      <x:c r="B2" s="321"/>
      <x:c r="C2" s="321"/>
      <x:c r="D2" s="321"/>
      <x:c r="E2" s="321"/>
      <x:c r="F2" s="321"/>
      <x:c r="G2" s="321"/>
      <x:c r="H2" s="321"/>
      <x:c r="I2" s="321"/>
      <x:c r="J2" s="321"/>
      <x:c r="K2" s="321"/>
      <x:c r="L2" s="321"/>
    </x:row>
    <x:row r="3" ht="30" customHeight="1">
      <x:c r="A3" s="321" t="str">
        <x:v>核价日期：2026-09-03｜范围：多人纯语音ARTC + 标准视频直播 + 录制/存储；用户确认无回放，不计回放流量及关联费用。</x:v>
      </x:c>
      <x:c r="B3" s="321"/>
      <x:c r="C3" s="321"/>
      <x:c r="D3" s="321"/>
      <x:c r="E3" s="321"/>
      <x:c r="F3" s="321"/>
      <x:c r="G3" s="321"/>
      <x:c r="H3" s="321"/>
      <x:c r="I3" s="321"/>
      <x:c r="J3" s="321"/>
      <x:c r="K3" s="321"/>
      <x:c r="L3" s="321"/>
    </x:row>
    <x:row r="4" ht="32" customHeight="1">
      <x:c r="A4" s="323" t="str">
        <x:v>一、可修改的运营假设与单位换算</x:v>
      </x:c>
      <x:c r="B4" s="323"/>
      <x:c r="C4" s="323"/>
      <x:c r="D4" s="323"/>
      <x:c r="E4" s="323"/>
      <x:c r="F4" s="323"/>
      <x:c r="G4" s="323"/>
      <x:c r="H4" s="323"/>
      <x:c r="I4" s="323"/>
      <x:c r="J4" s="323"/>
      <x:c r="K4" s="323"/>
      <x:c r="L4" s="323"/>
    </x:row>
    <x:row r="5" ht="30" customHeight="1">
      <x:c r="A5" s="324" t="str">
        <x:v>每月运营天数</x:v>
      </x:c>
      <x:c r="B5" s="324"/>
      <x:c r="C5" s="324"/>
      <x:c r="D5" s="324"/>
      <x:c r="E5" s="326" t="n">
        <x:v>30</x:v>
      </x:c>
      <x:c r="F5" s="324" t="str">
        <x:v>天/月</x:v>
      </x:c>
      <x:c r="G5" s="324" t="str">
        <x:v>按30天测算；年费用按同一月规模乘12。</x:v>
      </x:c>
      <x:c r="H5" s="324"/>
      <x:c r="I5" s="324"/>
      <x:c r="J5" s="324"/>
      <x:c r="K5" s="324"/>
      <x:c r="L5" s="324"/>
    </x:row>
    <x:row r="6" ht="30" customHeight="1">
      <x:c r="A6" s="327" t="str">
        <x:v>每日语音房数量</x:v>
      </x:c>
      <x:c r="B6" s="327"/>
      <x:c r="C6" s="327"/>
      <x:c r="D6" s="327"/>
      <x:c r="E6" s="326" t="n">
        <x:v>5</x:v>
      </x:c>
      <x:c r="F6" s="327" t="str">
        <x:v>房/天</x:v>
      </x:c>
      <x:c r="G6" s="327" t="str">
        <x:v>一天内有业务的房间数，不是峰值并发。</x:v>
      </x:c>
      <x:c r="H6" s="327"/>
      <x:c r="I6" s="327"/>
      <x:c r="J6" s="327"/>
      <x:c r="K6" s="327"/>
      <x:c r="L6" s="327"/>
    </x:row>
    <x:row r="7" ht="30" customHeight="1">
      <x:c r="A7" s="324" t="str">
        <x:v>每个语音房日均时长</x:v>
      </x:c>
      <x:c r="B7" s="324"/>
      <x:c r="C7" s="324"/>
      <x:c r="D7" s="324"/>
      <x:c r="E7" s="326" t="n">
        <x:v>2</x:v>
      </x:c>
      <x:c r="F7" s="324" t="str">
        <x:v>小时/房·天</x:v>
      </x:c>
      <x:c r="G7" s="324" t="str">
        <x:v>计费包含听众、主持人、上麦用户的在房时间。</x:v>
      </x:c>
      <x:c r="H7" s="324"/>
      <x:c r="I7" s="324"/>
      <x:c r="J7" s="324"/>
      <x:c r="K7" s="324"/>
      <x:c r="L7" s="324"/>
    </x:row>
    <x:row r="8" ht="30" customHeight="1">
      <x:c r="A8" s="327" t="str">
        <x:v>语音房平均在线人数</x:v>
      </x:c>
      <x:c r="B8" s="327"/>
      <x:c r="C8" s="327"/>
      <x:c r="D8" s="327"/>
      <x:c r="E8" s="326" t="n">
        <x:v>10</x:v>
      </x:c>
      <x:c r="F8" s="327" t="str">
        <x:v>人/房</x:v>
      </x:c>
      <x:c r="G8" s="327" t="str">
        <x:v>包括主持人与听众，不包括另外列示的录制机器人。</x:v>
      </x:c>
      <x:c r="H8" s="327"/>
      <x:c r="I8" s="327"/>
      <x:c r="J8" s="327"/>
      <x:c r="K8" s="327"/>
      <x:c r="L8" s="327"/>
    </x:row>
    <x:row r="9" ht="30" customHeight="1">
      <x:c r="A9" s="324" t="str">
        <x:v>语音房录制覆盖率</x:v>
      </x:c>
      <x:c r="B9" s="324"/>
      <x:c r="C9" s="324"/>
      <x:c r="D9" s="324"/>
      <x:c r="E9" s="330" t="n">
        <x:v>1</x:v>
      </x:c>
      <x:c r="F9" s="324" t="str">
        <x:v>比例</x:v>
      </x:c>
      <x:c r="G9" s="324" t="str">
        <x:v>本预算假设全程录制；填0关闭预算中的录制及对应存储，不代表已开通服务。</x:v>
      </x:c>
      <x:c r="H9" s="324"/>
      <x:c r="I9" s="324"/>
      <x:c r="J9" s="324"/>
      <x:c r="K9" s="324"/>
      <x:c r="L9" s="324"/>
    </x:row>
    <x:row r="10" ht="30" customHeight="1">
      <x:c r="A10" s="327" t="str">
        <x:v>语音录制输出码率</x:v>
      </x:c>
      <x:c r="B10" s="327"/>
      <x:c r="C10" s="327"/>
      <x:c r="D10" s="327"/>
      <x:c r="E10" s="326" t="n">
        <x:v>64</x:v>
      </x:c>
      <x:c r="F10" s="327" t="str">
        <x:v>Kbps</x:v>
      </x:c>
      <x:c r="G10" s="327" t="str">
        <x:v>一房一路合流音频；用于文件体积估算。</x:v>
      </x:c>
      <x:c r="H10" s="327"/>
      <x:c r="I10" s="327"/>
      <x:c r="J10" s="327"/>
      <x:c r="K10" s="327"/>
      <x:c r="L10" s="327"/>
    </x:row>
    <x:row r="11" ht="30" customHeight="1">
      <x:c r="A11" s="324" t="str">
        <x:v>每日视频直播间数量</x:v>
      </x:c>
      <x:c r="B11" s="324"/>
      <x:c r="C11" s="324"/>
      <x:c r="D11" s="324"/>
      <x:c r="E11" s="326" t="n">
        <x:v>2</x:v>
      </x:c>
      <x:c r="F11" s="324" t="str">
        <x:v>间/天</x:v>
      </x:c>
      <x:c r="G11" s="324" t="str">
        <x:v>单主播RTMP推流，观众通过标准直播CDN观看；不含视频连麦/PK。</x:v>
      </x:c>
      <x:c r="H11" s="324"/>
      <x:c r="I11" s="324"/>
      <x:c r="J11" s="324"/>
      <x:c r="K11" s="324"/>
      <x:c r="L11" s="324"/>
    </x:row>
    <x:row r="12" ht="30" customHeight="1">
      <x:c r="A12" s="327" t="str">
        <x:v>每直播间日均时长</x:v>
      </x:c>
      <x:c r="B12" s="327"/>
      <x:c r="C12" s="327"/>
      <x:c r="D12" s="327"/>
      <x:c r="E12" s="326" t="n">
        <x:v>2</x:v>
      </x:c>
      <x:c r="F12" s="327" t="str">
        <x:v>小时/间·天</x:v>
      </x:c>
      <x:c r="G12" s="327" t="str">
        <x:v>直播时长不是观众累计观看时长。</x:v>
      </x:c>
      <x:c r="H12" s="327"/>
      <x:c r="I12" s="327"/>
      <x:c r="J12" s="327"/>
      <x:c r="K12" s="327"/>
      <x:c r="L12" s="327"/>
    </x:row>
    <x:row r="13" ht="30" customHeight="1">
      <x:c r="A13" s="324" t="str">
        <x:v>每直播间平均观看人数</x:v>
      </x:c>
      <x:c r="B13" s="324"/>
      <x:c r="C13" s="324"/>
      <x:c r="D13" s="324"/>
      <x:c r="E13" s="326" t="n">
        <x:v>20</x:v>
      </x:c>
      <x:c r="F13" s="324" t="str">
        <x:v>人/间</x:v>
      </x:c>
      <x:c r="G13" s="324" t="str">
        <x:v>仅观众，不含主播；采用持续平均在线人数测算流量。</x:v>
      </x:c>
      <x:c r="H13" s="324"/>
      <x:c r="I13" s="324"/>
      <x:c r="J13" s="324"/>
      <x:c r="K13" s="324"/>
      <x:c r="L13" s="324"/>
    </x:row>
    <x:row r="14" ht="30" customHeight="1">
      <x:c r="A14" s="327" t="str">
        <x:v>直播总输出码率</x:v>
      </x:c>
      <x:c r="B14" s="327"/>
      <x:c r="C14" s="327"/>
      <x:c r="D14" s="327"/>
      <x:c r="E14" s="331" t="n">
        <x:v>1.5</x:v>
      </x:c>
      <x:c r="F14" s="327" t="str">
        <x:v>Mbps</x:v>
      </x:c>
      <x:c r="G14" s="327" t="str">
        <x:v>720P预算码率，包含音频；不是按分辨率保证的固定码率。</x:v>
      </x:c>
      <x:c r="H14" s="327"/>
      <x:c r="I14" s="327"/>
      <x:c r="J14" s="327"/>
      <x:c r="K14" s="327"/>
      <x:c r="L14" s="327"/>
    </x:row>
    <x:row r="15" ht="30" customHeight="1">
      <x:c r="A15" s="324" t="str">
        <x:v>每直播流转码输出路数</x:v>
      </x:c>
      <x:c r="B15" s="324"/>
      <x:c r="C15" s="324"/>
      <x:c r="D15" s="324"/>
      <x:c r="E15" s="326" t="n">
        <x:v>1</x:v>
      </x:c>
      <x:c r="F15" s="324" t="str">
        <x:v>路</x:v>
      </x:c>
      <x:c r="G15" s="324" t="str">
        <x:v>一路H.264 720P标准转码；原画直出且无需转码时改0。</x:v>
      </x:c>
      <x:c r="H15" s="324"/>
      <x:c r="I15" s="324"/>
      <x:c r="J15" s="324"/>
      <x:c r="K15" s="324"/>
      <x:c r="L15" s="324"/>
    </x:row>
    <x:row r="16" ht="30" customHeight="1">
      <x:c r="A16" s="327" t="str">
        <x:v>直播录制覆盖率</x:v>
      </x:c>
      <x:c r="B16" s="327"/>
      <x:c r="C16" s="327"/>
      <x:c r="D16" s="327"/>
      <x:c r="E16" s="330" t="n">
        <x:v>1</x:v>
      </x:c>
      <x:c r="F16" s="327" t="str">
        <x:v>比例</x:v>
      </x:c>
      <x:c r="G16" s="327" t="str">
        <x:v>本预算假设全程录制，单一MP4格式保存到OSS。</x:v>
      </x:c>
      <x:c r="H16" s="327"/>
      <x:c r="I16" s="327"/>
      <x:c r="J16" s="327"/>
      <x:c r="K16" s="327"/>
      <x:c r="L16" s="327"/>
    </x:row>
    <x:row r="17" ht="30" customHeight="1">
      <x:c r="A17" s="324" t="str">
        <x:v>直播录制峰值并发</x:v>
      </x:c>
      <x:c r="B17" s="324"/>
      <x:c r="C17" s="324"/>
      <x:c r="D17" s="324"/>
      <x:c r="E17" s="326" t="n">
        <x:v>2</x:v>
      </x:c>
      <x:c r="F17" s="324" t="str">
        <x:v>路/月</x:v>
      </x:c>
      <x:c r="G17" s="324" t="str">
        <x:v>独立输入：按当月实际录制峰值计费，不按房间总数；不录制时应改0。</x:v>
      </x:c>
      <x:c r="H17" s="324"/>
      <x:c r="I17" s="324"/>
      <x:c r="J17" s="324"/>
      <x:c r="K17" s="324"/>
      <x:c r="L17" s="324"/>
    </x:row>
    <x:row r="18" ht="30" customHeight="1">
      <x:c r="A18" s="327" t="str">
        <x:v>录制文件保留天数</x:v>
      </x:c>
      <x:c r="B18" s="327"/>
      <x:c r="C18" s="327"/>
      <x:c r="D18" s="327"/>
      <x:c r="E18" s="326" t="n">
        <x:v>30</x:v>
      </x:c>
      <x:c r="F18" s="327" t="str">
        <x:v>天</x:v>
      </x:c>
      <x:c r="G18" s="327" t="str">
        <x:v>稳态存储量：月产出容量×保留天数/月天数；不按首月半量低估。</x:v>
      </x:c>
      <x:c r="H18" s="327"/>
      <x:c r="I18" s="327"/>
      <x:c r="J18" s="327"/>
      <x:c r="K18" s="327"/>
      <x:c r="L18" s="327"/>
    </x:row>
    <x:row r="19" ht="5" customHeight="1">
      <x:c r="A19" s="321"/>
      <x:c r="B19" s="321"/>
      <x:c r="C19" s="321"/>
      <x:c r="D19" s="321"/>
      <x:c r="E19" s="321"/>
      <x:c r="F19" s="321"/>
      <x:c r="G19" s="321"/>
      <x:c r="H19" s="321"/>
      <x:c r="I19" s="321"/>
      <x:c r="J19" s="321"/>
      <x:c r="K19" s="321"/>
      <x:c r="L19" s="321"/>
    </x:row>
    <x:row r="20" ht="5" customHeight="1">
      <x:c r="A20" s="321"/>
      <x:c r="B20" s="321"/>
      <x:c r="C20" s="321"/>
      <x:c r="D20" s="321"/>
      <x:c r="E20" s="321"/>
      <x:c r="F20" s="321"/>
      <x:c r="G20" s="321"/>
      <x:c r="H20" s="321"/>
      <x:c r="I20" s="321"/>
      <x:c r="J20" s="321"/>
      <x:c r="K20" s="321"/>
      <x:c r="L20" s="321"/>
    </x:row>
    <x:row r="21" ht="5" customHeight="1">
      <x:c r="A21" s="321"/>
      <x:c r="B21" s="321"/>
      <x:c r="C21" s="321"/>
      <x:c r="D21" s="321"/>
      <x:c r="E21" s="321"/>
      <x:c r="F21" s="321"/>
      <x:c r="G21" s="321"/>
      <x:c r="H21" s="321"/>
      <x:c r="I21" s="321"/>
      <x:c r="J21" s="321"/>
      <x:c r="K21" s="321"/>
      <x:c r="L21" s="321"/>
    </x:row>
    <x:row r="22" ht="30" customHeight="1">
      <x:c r="A22" s="327" t="str">
        <x:v>直播传输冗余系数</x:v>
      </x:c>
      <x:c r="B22" s="327"/>
      <x:c r="C22" s="327"/>
      <x:c r="D22" s="327"/>
      <x:c r="E22" s="331" t="n">
        <x:v>1.1</x:v>
      </x:c>
      <x:c r="F22" s="327" t="str">
        <x:v>倍</x:v>
      </x:c>
      <x:c r="G22" s="327" t="str">
        <x:v>在码率换算流量上预留10%协议/波动用量，不是价格折扣或额外固定费。</x:v>
      </x:c>
      <x:c r="H22" s="327"/>
      <x:c r="I22" s="327"/>
      <x:c r="J22" s="327"/>
      <x:c r="K22" s="327"/>
      <x:c r="L22" s="327"/>
    </x:row>
    <x:row r="23" ht="30" customHeight="1">
      <x:c r="A23" s="324" t="str">
        <x:v>小时转秒</x:v>
      </x:c>
      <x:c r="B23" s="324"/>
      <x:c r="C23" s="324"/>
      <x:c r="D23" s="324"/>
      <x:c r="E23" s="329" t="n">
        <x:v>3600</x:v>
      </x:c>
      <x:c r="F23" s="324" t="str">
        <x:v>秒/小时</x:v>
      </x:c>
      <x:c r="G23" s="324" t="str">
        <x:v>单位换算常数。</x:v>
      </x:c>
      <x:c r="H23" s="324"/>
      <x:c r="I23" s="324"/>
      <x:c r="J23" s="324"/>
      <x:c r="K23" s="324"/>
      <x:c r="L23" s="324"/>
    </x:row>
    <x:row r="24" ht="30" customHeight="1">
      <x:c r="A24" s="327" t="str">
        <x:v>位转字节</x:v>
      </x:c>
      <x:c r="B24" s="327"/>
      <x:c r="C24" s="327"/>
      <x:c r="D24" s="327"/>
      <x:c r="E24" s="329" t="n">
        <x:v>8</x:v>
      </x:c>
      <x:c r="F24" s="327" t="str">
        <x:v>bit/Byte</x:v>
      </x:c>
      <x:c r="G24" s="327" t="str">
        <x:v>单位换算常数。</x:v>
      </x:c>
      <x:c r="H24" s="327"/>
      <x:c r="I24" s="327"/>
      <x:c r="J24" s="327"/>
      <x:c r="K24" s="327"/>
      <x:c r="L24" s="327"/>
    </x:row>
    <x:row r="25" ht="30" customHeight="1">
      <x:c r="A25" s="324" t="str">
        <x:v>Mbps转bit每秒</x:v>
      </x:c>
      <x:c r="B25" s="324"/>
      <x:c r="C25" s="324"/>
      <x:c r="D25" s="324"/>
      <x:c r="E25" s="329" t="n">
        <x:v>1000000</x:v>
      </x:c>
      <x:c r="F25" s="324" t="str">
        <x:v>bit/s</x:v>
      </x:c>
      <x:c r="G25" s="324" t="str">
        <x:v>码率Mbps按十进制。</x:v>
      </x:c>
      <x:c r="H25" s="324"/>
      <x:c r="I25" s="324"/>
      <x:c r="J25" s="324"/>
      <x:c r="K25" s="324"/>
      <x:c r="L25" s="324"/>
    </x:row>
    <x:row r="26" ht="30" customHeight="1">
      <x:c r="A26" s="327" t="str">
        <x:v>计费GB对应字节数</x:v>
      </x:c>
      <x:c r="B26" s="327"/>
      <x:c r="C26" s="327"/>
      <x:c r="D26" s="327"/>
      <x:c r="E26" s="329" t="n">
        <x:v>1073741824</x:v>
      </x:c>
      <x:c r="F26" s="327" t="str">
        <x:v>Byte/GB</x:v>
      </x:c>
      <x:c r="G26" s="327" t="str">
        <x:v>流量单位按1024进制：1024³ Byte/GB。</x:v>
      </x:c>
      <x:c r="H26" s="327"/>
      <x:c r="I26" s="327"/>
      <x:c r="J26" s="327"/>
      <x:c r="K26" s="327"/>
      <x:c r="L26" s="327"/>
    </x:row>
    <x:row r="27" ht="30" customHeight="1">
      <x:c r="A27" s="324" t="str">
        <x:v>小时转分钟</x:v>
      </x:c>
      <x:c r="B27" s="324"/>
      <x:c r="C27" s="324"/>
      <x:c r="D27" s="324"/>
      <x:c r="E27" s="329" t="n">
        <x:v>60</x:v>
      </x:c>
      <x:c r="F27" s="324" t="str">
        <x:v>分钟/小时</x:v>
      </x:c>
      <x:c r="G27" s="324" t="str">
        <x:v>单位换算常数。</x:v>
      </x:c>
      <x:c r="H27" s="324"/>
      <x:c r="I27" s="324"/>
      <x:c r="J27" s="324"/>
      <x:c r="K27" s="324"/>
      <x:c r="L27" s="324"/>
    </x:row>
    <x:row r="28" ht="30" customHeight="1">
      <x:c r="A28" s="327" t="str">
        <x:v>年化月份数</x:v>
      </x:c>
      <x:c r="B28" s="327"/>
      <x:c r="C28" s="327"/>
      <x:c r="D28" s="327"/>
      <x:c r="E28" s="329" t="n">
        <x:v>12</x:v>
      </x:c>
      <x:c r="F28" s="327" t="str">
        <x:v>月/年</x:v>
      </x:c>
      <x:c r="G28" s="327" t="str">
        <x:v>全年假定业务量维持不变。</x:v>
      </x:c>
      <x:c r="H28" s="327"/>
      <x:c r="I28" s="327"/>
      <x:c r="J28" s="327"/>
      <x:c r="K28" s="327"/>
      <x:c r="L28" s="327"/>
    </x:row>
    <x:row r="29" ht="30" customHeight="1">
      <x:c r="A29" s="324" t="str">
        <x:v>Kbps转bit每秒</x:v>
      </x:c>
      <x:c r="B29" s="324"/>
      <x:c r="C29" s="324"/>
      <x:c r="D29" s="324"/>
      <x:c r="E29" s="329" t="n">
        <x:v>1000</x:v>
      </x:c>
      <x:c r="F29" s="324" t="str">
        <x:v>bit/s</x:v>
      </x:c>
      <x:c r="G29" s="324" t="str">
        <x:v>码率Kbps按十进制。</x:v>
      </x:c>
      <x:c r="H29" s="324"/>
      <x:c r="I29" s="324"/>
      <x:c r="J29" s="324"/>
      <x:c r="K29" s="324"/>
      <x:c r="L29" s="324"/>
    </x:row>
    <x:row r="30" ht="30" customHeight="1">
      <x:c r="A30" s="321"/>
      <x:c r="B30" s="321"/>
      <x:c r="C30" s="321"/>
      <x:c r="D30" s="321"/>
      <x:c r="E30" s="321"/>
      <x:c r="F30" s="321"/>
      <x:c r="G30" s="321"/>
      <x:c r="H30" s="321"/>
      <x:c r="I30" s="321"/>
      <x:c r="J30" s="321"/>
      <x:c r="K30" s="321"/>
      <x:c r="L30" s="321"/>
    </x:row>
    <x:row r="31" ht="32" customHeight="1">
      <x:c r="A31" s="323" t="str">
        <x:v>二、语音房与直播费用（独立于基础按量，全部计入最终合价）</x:v>
      </x:c>
      <x:c r="B31" s="323"/>
      <x:c r="C31" s="323"/>
      <x:c r="D31" s="323"/>
      <x:c r="E31" s="323"/>
      <x:c r="F31" s="323"/>
      <x:c r="G31" s="323"/>
      <x:c r="H31" s="323"/>
      <x:c r="I31" s="323"/>
      <x:c r="J31" s="323"/>
      <x:c r="K31" s="323"/>
      <x:c r="L31" s="323"/>
    </x:row>
    <x:row r="32" ht="38" customHeight="1">
      <x:c r="A32" s="333" t="str">
        <x:v>序号</x:v>
      </x:c>
      <x:c r="B32" s="333" t="str">
        <x:v>业务</x:v>
      </x:c>
      <x:c r="C32" s="333" t="str">
        <x:v>计费项</x:v>
      </x:c>
      <x:c r="D32" s="333" t="str">
        <x:v>预计月用量</x:v>
      </x:c>
      <x:c r="E32" s="333" t="str">
        <x:v>用量单位</x:v>
      </x:c>
      <x:c r="F32" s="333" t="str">
        <x:v>目录单价</x:v>
      </x:c>
      <x:c r="G32" s="333" t="str">
        <x:v>价格单位</x:v>
      </x:c>
      <x:c r="H32" s="333" t="str">
        <x:v>预计月费</x:v>
      </x:c>
      <x:c r="I32" s="333" t="str">
        <x:v>预计年费</x:v>
      </x:c>
      <x:c r="J32" s="333" t="str">
        <x:v>计价状态</x:v>
      </x:c>
      <x:c r="K32" s="333" t="str">
        <x:v>官方来源URL</x:v>
      </x:c>
      <x:c r="L32" s="333" t="str">
        <x:v>口径/不重复计费说明</x:v>
      </x:c>
    </x:row>
    <x:row r="33" ht="90" customHeight="1">
      <x:c r="A33" s="324" t="n">
        <x:v>1</x:v>
      </x:c>
      <x:c r="B33" s="324" t="str">
        <x:v>多人语音房</x:v>
      </x:c>
      <x:c r="C33" s="324" t="str">
        <x:v>ARTC纯语音通话</x:v>
      </x:c>
      <x:c r="D33" s="346" t="n">
        <x:f>E6*E7*E5*E8*E27</x:f>
        <x:v>180000</x:v>
      </x:c>
      <x:c r="E33" s="347" t="str">
        <x:v>人·分钟</x:v>
      </x:c>
      <x:c r="F33" s="358" t="n">
        <x:v>0.006</x:v>
      </x:c>
      <x:c r="G33" s="347" t="str">
        <x:v>元/人·分钟</x:v>
      </x:c>
      <x:c r="H33" s="349" t="n">
        <x:f>D33*F33</x:f>
        <x:v>1080</x:v>
      </x:c>
      <x:c r="I33" s="349" t="n">
        <x:f>H33*$E$28</x:f>
        <x:v>12960</x:v>
      </x:c>
      <x:c r="J33" s="324" t="str">
        <x:v>已核目录价</x:v>
      </x:c>
      <x:c r="K33" s="334" t="str">
        <x:v>https://help.aliyun.com/zh/live/product-overview/billing-of-co-streaming/</x:v>
      </x:c>
      <x:c r="L33" s="324" t="str">
        <x:v>所有在房用户均计费；多路音频不重复算人数。媒体传输已含于ARTC，不再计直播CDN。</x:v>
      </x:c>
    </x:row>
    <x:row r="34" ht="90" customHeight="1">
      <x:c r="A34" s="335" t="n">
        <x:v>2</x:v>
      </x:c>
      <x:c r="B34" s="335" t="str">
        <x:v>语音房录制</x:v>
      </x:c>
      <x:c r="C34" s="335" t="str">
        <x:v>录制机器人通话</x:v>
      </x:c>
      <x:c r="D34" s="350" t="n">
        <x:f>E6*E7*E5*E27*E9</x:f>
        <x:v>18000</x:v>
      </x:c>
      <x:c r="E34" s="351" t="str">
        <x:v>机器人分钟</x:v>
      </x:c>
      <x:c r="F34" s="359" t="n">
        <x:v>0.006</x:v>
      </x:c>
      <x:c r="G34" s="351" t="str">
        <x:v>元/分钟</x:v>
      </x:c>
      <x:c r="H34" s="353" t="n">
        <x:f>D34*F34</x:f>
        <x:v>108</x:v>
      </x:c>
      <x:c r="I34" s="353" t="n">
        <x:f>H34*$E$28</x:f>
        <x:v>1296</x:v>
      </x:c>
      <x:c r="J34" s="335" t="str">
        <x:v>已核目录价</x:v>
      </x:c>
      <x:c r="K34" s="336" t="str">
        <x:v>https://help.aliyun.com/zh/live/product-overview/billing-of-co-streaming/</x:v>
      </x:c>
      <x:c r="L34" s="335" t="str">
        <x:v>每房一个机器人；机器人订阅通话费与录制处理费是两项，不能漏算。</x:v>
      </x:c>
    </x:row>
    <x:row r="35" ht="90" customHeight="1">
      <x:c r="A35" s="324" t="n">
        <x:v>3</x:v>
      </x:c>
      <x:c r="B35" s="324" t="str">
        <x:v>语音房录制</x:v>
      </x:c>
      <x:c r="C35" s="324" t="str">
        <x:v>纯音频合流录制</x:v>
      </x:c>
      <x:c r="D35" s="346" t="n">
        <x:f>D34</x:f>
        <x:v>18000</x:v>
      </x:c>
      <x:c r="E35" s="347" t="str">
        <x:v>合流分钟</x:v>
      </x:c>
      <x:c r="F35" s="358" t="n">
        <x:v>0.009</x:v>
      </x:c>
      <x:c r="G35" s="347" t="str">
        <x:v>元/分钟</x:v>
      </x:c>
      <x:c r="H35" s="349" t="n">
        <x:f>D35*F35</x:f>
        <x:v>162</x:v>
      </x:c>
      <x:c r="I35" s="349" t="n">
        <x:f>H35*$E$28</x:f>
        <x:v>1944</x:v>
      </x:c>
      <x:c r="J35" s="324" t="str">
        <x:v>已核目录价</x:v>
      </x:c>
      <x:c r="K35" s="334" t="str">
        <x:v>https://help.aliyun.com/zh/live/product-overview/artc-cloud-recording-fee</x:v>
      </x:c>
      <x:c r="L35" s="324" t="str">
        <x:v>一房一路合流、单一格式；不是按每个听众录制。OSS存储另列。</x:v>
      </x:c>
    </x:row>
    <x:row r="36" ht="90" customHeight="1">
      <x:c r="A36" s="335" t="n">
        <x:v>4</x:v>
      </x:c>
      <x:c r="B36" s="335" t="str">
        <x:v>视频直播</x:v>
      </x:c>
      <x:c r="C36" s="335" t="str">
        <x:v>标准直播下行流量</x:v>
      </x:c>
      <x:c r="D36" s="350" t="n">
        <x:f>E11*E12*E5*E13*E14*E25*E23/E24/E26*E22</x:f>
        <x:v>1659.616827964783</x:v>
      </x:c>
      <x:c r="E36" s="351" t="str">
        <x:v>GB</x:v>
      </x:c>
      <x:c r="F36" s="359" t="n">
        <x:v>0.264</x:v>
      </x:c>
      <x:c r="G36" s="351" t="str">
        <x:v>元/GB</x:v>
      </x:c>
      <x:c r="H36" s="353" t="n">
        <x:f>D36*F36</x:f>
        <x:v>438.1388425827027</x:v>
      </x:c>
      <x:c r="I36" s="353" t="n">
        <x:f>H36*$E$28</x:f>
        <x:v>5257.666110992433</x:v>
      </x:c>
      <x:c r="J36" s="335" t="str">
        <x:v>已核目录价</x:v>
      </x:c>
      <x:c r="K36" s="336" t="str">
        <x:v>https://help.aliyun.com/zh/live/product-overview/billing-of-standard-streaming</x:v>
      </x:c>
      <x:c r="L36" s="335" t="str">
        <x:v>中国内地首档0–10TB/月，按量原价；码率×累计观看小时×1.1；超过首档需更新阶梯算法。</x:v>
      </x:c>
    </x:row>
    <x:row r="37" ht="90" customHeight="1">
      <x:c r="A37" s="324" t="n">
        <x:v>5</x:v>
      </x:c>
      <x:c r="B37" s="324" t="str">
        <x:v>视频直播</x:v>
      </x:c>
      <x:c r="C37" s="324" t="str">
        <x:v>H.264 720P标准转码</x:v>
      </x:c>
      <x:c r="D37" s="346" t="n">
        <x:f>E11*E12*E5*E27*E15</x:f>
        <x:v>7200</x:v>
      </x:c>
      <x:c r="E37" s="347" t="str">
        <x:v>输出分钟</x:v>
      </x:c>
      <x:c r="F37" s="358" t="n">
        <x:v>0.033</x:v>
      </x:c>
      <x:c r="G37" s="347" t="str">
        <x:v>元/分钟</x:v>
      </x:c>
      <x:c r="H37" s="349" t="n">
        <x:f>D37*F37</x:f>
        <x:v>237.60000000000002</x:v>
      </x:c>
      <x:c r="I37" s="349" t="n">
        <x:f>H37*$E$28</x:f>
        <x:v>2851.2000000000003</x:v>
      </x:c>
      <x:c r="J37" s="324" t="str">
        <x:v>已核目录价</x:v>
      </x:c>
      <x:c r="K37" s="334" t="str">
        <x:v>https://help.aliyun.com/zh/live/product-overview/billing-of-live-stream-transcoding</x:v>
      </x:c>
      <x:c r="L37" s="324" t="str">
        <x:v>按输出流时长收费，与观众人数无关。只算一路，不含窄带高清、1080P或RTS。</x:v>
      </x:c>
    </x:row>
    <x:row r="38" ht="90" customHeight="1">
      <x:c r="A38" s="335" t="n">
        <x:v>6</x:v>
      </x:c>
      <x:c r="B38" s="335" t="str">
        <x:v>直播录制</x:v>
      </x:c>
      <x:c r="C38" s="335" t="str">
        <x:v>月录制服务费</x:v>
      </x:c>
      <x:c r="D38" s="350" t="n">
        <x:f>E17</x:f>
        <x:v>2</x:v>
      </x:c>
      <x:c r="E38" s="351" t="str">
        <x:v>峰值路数</x:v>
      </x:c>
      <x:c r="F38" s="359" t="n">
        <x:v>30</x:v>
      </x:c>
      <x:c r="G38" s="351" t="str">
        <x:v>元/路·月</x:v>
      </x:c>
      <x:c r="H38" s="353" t="n">
        <x:f>D38*F38</x:f>
        <x:v>60</x:v>
      </x:c>
      <x:c r="I38" s="353" t="n">
        <x:f>H38*$E$28</x:f>
        <x:v>720</x:v>
      </x:c>
      <x:c r="J38" s="335" t="str">
        <x:v>已核目录价</x:v>
      </x:c>
      <x:c r="K38" s="336" t="str">
        <x:v>https://help.aliyun.com/zh/live/product-overview/billing-of-live-stream-recording</x:v>
      </x:c>
      <x:c r="L38" s="335" t="str">
        <x:v>按本月录制峰值并发计费，虽按月出账，仍随录制实际使用量变化。</x:v>
      </x:c>
    </x:row>
    <x:row r="39" ht="90" customHeight="1">
      <x:c r="A39" s="324" t="n">
        <x:v>7</x:v>
      </x:c>
      <x:c r="B39" s="324" t="str">
        <x:v>直播录制</x:v>
      </x:c>
      <x:c r="C39" s="324" t="str">
        <x:v>MP4转封装</x:v>
      </x:c>
      <x:c r="D39" s="346" t="n">
        <x:f>E11*E12*E5*E27*E16</x:f>
        <x:v>7200</x:v>
      </x:c>
      <x:c r="E39" s="347" t="str">
        <x:v>文件分钟</x:v>
      </x:c>
      <x:c r="F39" s="358" t="n">
        <x:v>0.007</x:v>
      </x:c>
      <x:c r="G39" s="347" t="str">
        <x:v>元/分钟</x:v>
      </x:c>
      <x:c r="H39" s="349" t="n">
        <x:f>D39*F39</x:f>
        <x:v>50.4</x:v>
      </x:c>
      <x:c r="I39" s="349" t="n">
        <x:f>H39*$E$28</x:f>
        <x:v>604.8</x:v>
      </x:c>
      <x:c r="J39" s="324" t="str">
        <x:v>已核目录价</x:v>
      </x:c>
      <x:c r="K39" s="334" t="str">
        <x:v>https://help.aliyun.com/zh/live/product-overview/billing-of-live-stream-recording</x:v>
      </x:c>
      <x:c r="L39" s="324" t="str">
        <x:v>仅一份MP4；不是VOD处理，不追加TS转封装费。存储另列。</x:v>
      </x:c>
    </x:row>
    <x:row r="40" ht="90" customHeight="1">
      <x:c r="A40" s="335" t="n">
        <x:v>8</x:v>
      </x:c>
      <x:c r="B40" s="335" t="str">
        <x:v>录制存储</x:v>
      </x:c>
      <x:c r="C40" s="335" t="str">
        <x:v>新增OSS标准本地冗余</x:v>
      </x:c>
      <x:c r="D40" s="350" t="n">
        <x:f>(D34/E27*E10*E29+D39/E27*E14*E25)*E23/E24/E26*E18/E5</x:f>
        <x:v>83.4837555885315</x:v>
      </x:c>
      <x:c r="E40" s="351" t="str">
        <x:v>GB·月</x:v>
      </x:c>
      <x:c r="F40" s="360" t="n">
        <x:f>'按量计费'!G6</x:f>
        <x:v>0.12</x:v>
      </x:c>
      <x:c r="G40" s="351" t="str">
        <x:v>元/GB·月</x:v>
      </x:c>
      <x:c r="H40" s="353" t="n">
        <x:f>D40*F40</x:f>
        <x:v>10.01805067062378</x:v>
      </x:c>
      <x:c r="I40" s="353" t="n">
        <x:f>H40*$E$28</x:f>
        <x:v>120.21660804748535</x:v>
      </x:c>
      <x:c r="J40" s="335" t="str">
        <x:v>沿用原单价</x:v>
      </x:c>
      <x:c r="K40" s="336" t="str">
        <x:v>https://help.aliyun.com/zh/oss/storage-fees</x:v>
      </x:c>
      <x:c r="L40" s="335" t="str">
        <x:v>音频合流+视频单路文件，按30天稳态保留；不重复原预算100GB对象存储。</x:v>
      </x:c>
    </x:row>
    <x:row r="41" ht="5" customHeight="1">
      <x:c r="A41" s="321"/>
      <x:c r="B41" s="321"/>
      <x:c r="C41" s="321"/>
      <x:c r="D41" s="354"/>
      <x:c r="E41" s="355"/>
      <x:c r="F41" s="361"/>
      <x:c r="G41" s="355"/>
      <x:c r="H41" s="357"/>
      <x:c r="I41" s="357"/>
      <x:c r="J41" s="321"/>
      <x:c r="K41" s="321"/>
      <x:c r="L41" s="321"/>
    </x:row>
    <x:row r="42" ht="5" customHeight="1">
      <x:c r="A42" s="321"/>
      <x:c r="B42" s="321"/>
      <x:c r="C42" s="321"/>
      <x:c r="D42" s="354"/>
      <x:c r="E42" s="355"/>
      <x:c r="F42" s="361"/>
      <x:c r="G42" s="355"/>
      <x:c r="H42" s="357"/>
      <x:c r="I42" s="357"/>
      <x:c r="J42" s="321"/>
      <x:c r="K42" s="321"/>
      <x:c r="L42" s="321"/>
    </x:row>
    <x:row r="43" ht="5" customHeight="1">
      <x:c r="A43" s="321"/>
      <x:c r="B43" s="321"/>
      <x:c r="C43" s="321"/>
      <x:c r="D43" s="354"/>
      <x:c r="E43" s="355"/>
      <x:c r="F43" s="361"/>
      <x:c r="G43" s="355"/>
      <x:c r="H43" s="357"/>
      <x:c r="I43" s="357"/>
      <x:c r="J43" s="321"/>
      <x:c r="K43" s="321"/>
      <x:c r="L43" s="321"/>
    </x:row>
    <x:row r="44" ht="36" customHeight="1">
      <x:c r="A44" s="364" t="str">
        <x:v>语音房与直播预估合计（另计入价格总表，不并入固定资源）</x:v>
      </x:c>
      <x:c r="B44" s="364"/>
      <x:c r="C44" s="364"/>
      <x:c r="D44" s="364"/>
      <x:c r="E44" s="364"/>
      <x:c r="F44" s="364"/>
      <x:c r="G44" s="364"/>
      <x:c r="H44" s="365" t="n">
        <x:f>SUM(H33:H43)</x:f>
        <x:v>2146.1568932533264</x:v>
      </x:c>
      <x:c r="I44" s="365" t="n">
        <x:f>SUM(I33:I43)</x:f>
        <x:v>25753.882719039917</x:v>
      </x:c>
      <x:c r="J44" s="364"/>
      <x:c r="K44" s="364"/>
      <x:c r="L44" s="364"/>
    </x:row>
    <x:row r="45" ht="30" customHeight="1">
      <x:c r="A45" s="321"/>
      <x:c r="B45" s="321"/>
      <x:c r="C45" s="321"/>
      <x:c r="D45" s="321"/>
      <x:c r="E45" s="321"/>
      <x:c r="F45" s="321"/>
      <x:c r="G45" s="321"/>
      <x:c r="H45" s="321"/>
      <x:c r="I45" s="321"/>
      <x:c r="J45" s="321"/>
      <x:c r="K45" s="321"/>
      <x:c r="L45" s="321"/>
    </x:row>
    <x:row r="46" ht="32" customHeight="1">
      <x:c r="A46" s="323" t="str">
        <x:v>三、预算边界与待询价项</x:v>
      </x:c>
      <x:c r="B46" s="323"/>
      <x:c r="C46" s="323"/>
      <x:c r="D46" s="323"/>
      <x:c r="E46" s="323"/>
      <x:c r="F46" s="323"/>
      <x:c r="G46" s="323"/>
      <x:c r="H46" s="323"/>
      <x:c r="I46" s="323"/>
      <x:c r="J46" s="323"/>
      <x:c r="K46" s="323"/>
      <x:c r="L46" s="323"/>
    </x:row>
    <x:row r="47" ht="48" customHeight="1">
      <x:c r="A47" s="324" t="str">
        <x:v>当前只是成本测算假设：录制、转码均按启用预算计入，不代表服务已开通或产品实现已完成。录制仅按后台留档保留，用户确认没有回放；不计回放CDN、回放OSS回源及关联读取请求。改变录制覆盖率时请同步调整录制峰值并发。</x:v>
      </x:c>
      <x:c r="B47" s="324"/>
      <x:c r="C47" s="324"/>
      <x:c r="D47" s="324"/>
      <x:c r="E47" s="324"/>
      <x:c r="F47" s="324"/>
      <x:c r="G47" s="324"/>
      <x:c r="H47" s="324"/>
      <x:c r="I47" s="324"/>
      <x:c r="J47" s="324"/>
      <x:c r="K47" s="324"/>
      <x:c r="L47" s="324"/>
    </x:row>
    <x:row r="48" ht="48" customHeight="1">
      <x:c r="A48" s="327" t="str">
        <x:v>实时语音房使用ARTC全员在房模式；视频直播使用单主播RTMP + 标准直播CDN。本场景无连麦/PK，因此不再叠加视频RTC、混流转推或RTS费用；若增加此类功能需另估。真人1v1通话也不在本页用量中。</x:v>
      </x:c>
      <x:c r="B48" s="327"/>
      <x:c r="C48" s="327"/>
      <x:c r="D48" s="327"/>
      <x:c r="E48" s="327"/>
      <x:c r="F48" s="327"/>
      <x:c r="G48" s="327"/>
      <x:c r="H48" s="327"/>
      <x:c r="I48" s="327"/>
      <x:c r="J48" s="327"/>
      <x:c r="K48" s="327"/>
      <x:c r="L48" s="327"/>
    </x:row>
    <x:row r="49" ht="48" customHeight="1">
      <x:c r="A49" s="324" t="str">
        <x:v>内容审核待询价，未计入合价且不代表免费：直播审核价格页称语音公测暂不收费，功能页又称语音审核为付费服务；需以实际开通产品及商务报价核定。人工审核也未计入。</x:v>
      </x:c>
      <x:c r="B49" s="324"/>
      <x:c r="C49" s="324"/>
      <x:c r="D49" s="324"/>
      <x:c r="E49" s="324"/>
      <x:c r="F49" s="324"/>
      <x:c r="G49" s="324"/>
      <x:c r="H49" s="324"/>
      <x:c r="I49" s="324"/>
      <x:c r="J49" s="324"/>
      <x:c r="K49" s="324"/>
      <x:c r="L49" s="324"/>
    </x:row>
    <x:row r="50" ht="48" customHeight="1">
      <x:c r="A50" s="327" t="str">
        <x:v>直播审核参考：https://help.aliyun.com/zh/live/product-overview/billing-of-automated-review ；功能说明：https://help.aliyun.com/zh/live/user-guide/content-moderation</x:v>
      </x:c>
      <x:c r="B50" s="327"/>
      <x:c r="C50" s="327"/>
      <x:c r="D50" s="327"/>
      <x:c r="E50" s="327"/>
      <x:c r="F50" s="327"/>
      <x:c r="G50" s="327"/>
      <x:c r="H50" s="327"/>
      <x:c r="I50" s="327"/>
      <x:c r="J50" s="327"/>
      <x:c r="K50" s="327"/>
      <x:c r="L50" s="327"/>
    </x:row>
    <x:row r="51" ht="48" customHeight="1">
      <x:c r="A51" s="324" t="str">
        <x:v>直播上行默认免费；官方说明播放/推流比小于50:1时可能协商收费。本例平均20名观众触及该条件，未收到通知时按默认不收费；若收到通知需追加上行费用，不能将本合价视为封顶。</x:v>
      </x:c>
      <x:c r="B51" s="324"/>
      <x:c r="C51" s="324"/>
      <x:c r="D51" s="324"/>
      <x:c r="E51" s="324"/>
      <x:c r="F51" s="324"/>
      <x:c r="G51" s="324"/>
      <x:c r="H51" s="324"/>
      <x:c r="I51" s="324"/>
      <x:c r="J51" s="324"/>
      <x:c r="K51" s="324"/>
      <x:c r="L51" s="324"/>
    </x:row>
    <x:row r="52" ht="48" customHeight="1">
      <x:c r="A52" s="327" t="str">
        <x:v>聊天室文字消息暂按现有ECS自建业务服务，不额外购买IM；美颜/播放器商业SDK、短信外的第三方服务、时移、DRM、审核截图、OSS写请求/管理请求、VOD处理等无明确用量，未包含，不能视为免费。</x:v>
      </x:c>
      <x:c r="B52" s="327"/>
      <x:c r="C52" s="327"/>
      <x:c r="D52" s="327"/>
      <x:c r="E52" s="327"/>
      <x:c r="F52" s="327"/>
      <x:c r="G52" s="327"/>
      <x:c r="H52" s="327"/>
      <x:c r="I52" s="327"/>
      <x:c r="J52" s="327"/>
      <x:c r="K52" s="327"/>
      <x:c r="L52" s="327"/>
    </x:row>
    <x:row r="53" ht="48" customHeight="1">
      <x:c r="A53" s="324" t="str">
        <x:v>基础资源保持三台4核8GiB ECS及ALB标准版。ECS单价仍是原表×2的预算暂估，待杭州正式询价；本次未重新校准全部既有产品价格。年化使用同一业务规模，非锁价或包年采购报价。</x:v>
      </x:c>
      <x:c r="B53" s="324"/>
      <x:c r="C53" s="324"/>
      <x:c r="D53" s="324"/>
      <x:c r="E53" s="324"/>
      <x:c r="F53" s="324"/>
      <x:c r="G53" s="324"/>
      <x:c r="H53" s="324"/>
      <x:c r="I53" s="324"/>
      <x:c r="J53" s="324"/>
      <x:c r="K53" s="324"/>
      <x:c r="L53" s="324"/>
    </x:row>
    <x:row r="54" ht="30" customHeight="1">
      <x:c r="A54" s="321"/>
      <x:c r="B54" s="321"/>
      <x:c r="C54" s="321"/>
      <x:c r="D54" s="321"/>
      <x:c r="E54" s="321"/>
      <x:c r="F54" s="321"/>
      <x:c r="G54" s="321"/>
      <x:c r="H54" s="321"/>
      <x:c r="I54" s="321"/>
      <x:c r="J54" s="321"/>
      <x:c r="K54" s="321"/>
      <x:c r="L54" s="321"/>
    </x:row>
  </x:sheetData>
  <x:mergeCells>
    <x:mergeCell ref="A1:L1"/>
    <x:mergeCell ref="A2:L2"/>
    <x:mergeCell ref="A3:L3"/>
    <x:mergeCell ref="A4:L4"/>
    <x:mergeCell ref="A5:D5"/>
    <x:mergeCell ref="G5:L5"/>
    <x:mergeCell ref="A6:D6"/>
    <x:mergeCell ref="G6:L6"/>
    <x:mergeCell ref="A7:D7"/>
    <x:mergeCell ref="G7:L7"/>
    <x:mergeCell ref="A8:D8"/>
    <x:mergeCell ref="G8:L8"/>
    <x:mergeCell ref="A9:D9"/>
    <x:mergeCell ref="G9:L9"/>
    <x:mergeCell ref="A10:D10"/>
    <x:mergeCell ref="G10:L10"/>
    <x:mergeCell ref="A11:D11"/>
    <x:mergeCell ref="G11:L11"/>
    <x:mergeCell ref="A12:D12"/>
    <x:mergeCell ref="G12:L12"/>
    <x:mergeCell ref="A13:D13"/>
    <x:mergeCell ref="G13:L13"/>
    <x:mergeCell ref="A14:D14"/>
    <x:mergeCell ref="G14:L14"/>
    <x:mergeCell ref="A15:D15"/>
    <x:mergeCell ref="G15:L15"/>
    <x:mergeCell ref="A16:D16"/>
    <x:mergeCell ref="G16:L16"/>
    <x:mergeCell ref="A17:D17"/>
    <x:mergeCell ref="G17:L17"/>
    <x:mergeCell ref="A18:D18"/>
    <x:mergeCell ref="G18:L18"/>
    <x:mergeCell ref="A22:D22"/>
    <x:mergeCell ref="G22:L22"/>
    <x:mergeCell ref="A23:D23"/>
    <x:mergeCell ref="G23:L23"/>
    <x:mergeCell ref="A24:D24"/>
    <x:mergeCell ref="G24:L24"/>
    <x:mergeCell ref="A25:D25"/>
    <x:mergeCell ref="G25:L25"/>
    <x:mergeCell ref="A26:D26"/>
    <x:mergeCell ref="G26:L26"/>
    <x:mergeCell ref="A27:D27"/>
    <x:mergeCell ref="G27:L27"/>
    <x:mergeCell ref="A28:D28"/>
    <x:mergeCell ref="G28:L28"/>
    <x:mergeCell ref="A29:D29"/>
    <x:mergeCell ref="G29:L29"/>
    <x:mergeCell ref="A31:L31"/>
    <x:mergeCell ref="A44:G44"/>
    <x:mergeCell ref="A46:L46"/>
    <x:mergeCell ref="A47:L47"/>
    <x:mergeCell ref="A48:L48"/>
    <x:mergeCell ref="A49:L49"/>
    <x:mergeCell ref="A50:L50"/>
    <x:mergeCell ref="A51:L51"/>
    <x:mergeCell ref="A52:L52"/>
    <x:mergeCell ref="A53:L53"/>
  </x:mergeCells>
  <x:pageMargins left="0.7" right="0.7" top="0.75" bottom="0.75" header="0.3" footer="0.3"/>
  <x:legacyDrawing xmlns:r="http://schemas.openxmlformats.org/officeDocument/2006/relationships" r:id="Rdc6e39b4dbb54505"/>
</x:worksheet>
</file>