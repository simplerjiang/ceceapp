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c76184211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价格总表" sheetId="1" r:id="R9ddca00e2b3d4e8d"/>
    <x:sheet xmlns:r="http://schemas.openxmlformats.org/officeDocument/2006/relationships" name="固定资源" sheetId="2" r:id="R539a09de94b74998"/>
    <x:sheet xmlns:r="http://schemas.openxmlformats.org/officeDocument/2006/relationships" name="按量计费" sheetId="3" r:id="R585f3cee244a4e8b"/>
    <x:sheet xmlns:r="http://schemas.openxmlformats.org/officeDocument/2006/relationships" name="价格来源" sheetId="4" r:id="R4fb041a30d934d84"/>
    <x:sheet xmlns:r="http://schemas.openxmlformats.org/officeDocument/2006/relationships" name="验算" sheetId="5" r:id="Rae1881b7f47e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&quot;¥&quot;#,##0.00;[Red](&quot;¥&quot;#,##0.00);-"/>
    <x:numFmt numFmtId="202" formatCode="yyyy-mm-dd"/>
    <x:numFmt numFmtId="203" formatCode="&quot;¥&quot;#,##0.00"/>
  </x:numFmts>
  <x:fonts count="29">
    <x:font>
      <x:sz val="11"/>
      <x:name val="Carlito"/>
    </x:font>
    <x:font>
      <x:b/>
      <x:sz val="18"/>
      <x:color rgb="FFFFFFFF"/>
      <x:name val="Noto Sans CJK SC"/>
    </x:font>
    <x:font>
      <x:b/>
      <x:sz val="10"/>
      <x:color rgb="FF7F6000"/>
      <x:name val="Noto Sans CJK SC"/>
    </x:font>
    <x:font>
      <x:b/>
      <x:sz val="10"/>
      <x:color rgb="FF17365D"/>
      <x:name val="Noto Sans CJK SC"/>
    </x:font>
    <x:font>
      <x:b/>
      <x:sz val="11"/>
      <x:color rgb="FF548235"/>
      <x:name val="Noto Sans CJK SC"/>
    </x:font>
    <x:font>
      <x:sz val="9"/>
      <x:name val="Noto Sans CJK SC"/>
    </x:font>
    <x:font>
      <x:sz val="8"/>
      <x:color rgb="FF0563C1"/>
      <x:name val="Noto Sans CJK SC"/>
    </x:font>
    <x:font>
      <x:sz val="9"/>
      <x:color rgb="FF7F6000"/>
      <x:name val="Noto Sans CJK SC"/>
    </x:font>
    <x:font>
      <x:sz val="9"/>
      <x:color rgb="FF595959"/>
      <x:name val="Noto Sans CJK SC"/>
    </x:font>
    <x:font>
      <x:b/>
      <x:sz val="10"/>
      <x:color rgb="FF1F4E78"/>
      <x:name val="Noto Sans CJK SC"/>
    </x:font>
    <x:font>
      <x:b/>
      <x:sz val="18"/>
      <x:color rgb="FF1F4E78"/>
      <x:name val="Noto Sans CJK SC"/>
    </x:font>
    <x:font>
      <x:b/>
      <x:sz val="10"/>
      <x:color rgb="FF548235"/>
      <x:name val="Noto Sans CJK SC"/>
    </x:font>
    <x:font>
      <x:b/>
      <x:sz val="18"/>
      <x:color rgb="FF548235"/>
      <x:name val="Noto Sans CJK SC"/>
    </x:font>
    <x:font>
      <x:b/>
      <x:sz val="11"/>
      <x:color rgb="FFFFFFFF"/>
      <x:name val="Noto Sans CJK SC"/>
    </x:font>
    <x:font>
      <x:b/>
      <x:sz val="9"/>
      <x:color rgb="FF17365D"/>
      <x:name val="Noto Sans CJK SC"/>
    </x:font>
    <x:font>
      <x:sz val="9"/>
      <x:color rgb="FF17365D"/>
      <x:name val="Noto Sans CJK SC"/>
    </x:font>
    <x:font>
      <x:sz val="9"/>
      <x:color rgb="FF843C0C"/>
      <x:name val="Noto Sans CJK SC"/>
    </x:font>
    <x:font>
      <x:b/>
      <x:sz val="9"/>
      <x:color rgb="FFC00000"/>
      <x:name val="Noto Sans CJK SC"/>
    </x:font>
    <x:font>
      <x:i/>
      <x:sz val="9"/>
      <x:color rgb="FF595959"/>
      <x:name val="Noto Sans CJK SC"/>
    </x:font>
    <x:font>
      <x:b/>
      <x:sz val="9"/>
      <x:color rgb="FF548235"/>
      <x:name val="Noto Sans CJK SC"/>
    </x:font>
    <x:font>
      <x:b/>
      <x:sz val="10"/>
      <x:color rgb="FFFFFFFF"/>
      <x:name val="Noto Sans CJK SC"/>
    </x:font>
    <x:font>
      <x:sz val="10"/>
      <x:color rgb="FF595959"/>
      <x:name val="Noto Sans CJK SC"/>
    </x:font>
    <x:font>
      <x:sz val="10"/>
      <x:name val="Noto Sans CJK SC"/>
    </x:font>
    <x:font>
      <x:sz val="10"/>
      <x:color rgb="FF0563C1"/>
      <x:name val="Noto Sans CJK SC"/>
    </x:font>
    <x:font>
      <x:sz val="10"/>
      <x:color rgb="FF17365D"/>
      <x:name val="Noto Sans CJK SC"/>
    </x:font>
    <x:font>
      <x:b/>
      <x:sz val="10"/>
      <x:color rgb="FFC00000"/>
      <x:name val="Noto Sans CJK SC"/>
    </x:font>
    <x:font>
      <x:sz val="10"/>
      <x:color rgb="FF843C0C"/>
      <x:name val="Noto Sans CJK SC"/>
    </x:font>
    <x:font>
      <x:i/>
      <x:sz val="10"/>
      <x:color rgb="FF595959"/>
      <x:name val="Noto Sans CJK SC"/>
    </x:font>
    <x:font>
      <x:sz val="10"/>
      <x:color rgb="FF7F6000"/>
      <x:name val="Noto Sans CJK SC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35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medium">
        <x:color rgb="FF548235"/>
      </x:left>
      <x:top style="medium">
        <x:color rgb="FF548235"/>
      </x:top>
      <x:bottom style="medium">
        <x:color rgb="FF548235"/>
      </x:bottom>
    </x:border>
    <x:border>
      <x:top style="medium">
        <x:color rgb="FF548235"/>
      </x:top>
      <x:bottom style="medium">
        <x:color rgb="FF548235"/>
      </x:bottom>
    </x:border>
    <x:border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1F4E78"/>
      </x:left>
      <x:top style="thin">
        <x:color rgb="FF1F4E78"/>
      </x:top>
    </x:border>
    <x:border>
      <x:top style="thin">
        <x:color rgb="FF1F4E78"/>
      </x:top>
    </x:border>
    <x:border>
      <x:right style="thin">
        <x:color rgb="FF1F4E78"/>
      </x:right>
      <x:top style="thin">
        <x:color rgb="FF1F4E78"/>
      </x:top>
    </x:border>
    <x:border>
      <x:left style="thin">
        <x:color rgb="FF1F4E78"/>
      </x:left>
      <x:bottom style="thin">
        <x:color rgb="FF1F4E78"/>
      </x:bottom>
    </x:border>
    <x:border>
      <x:bottom style="thin">
        <x:color rgb="FF1F4E78"/>
      </x:bottom>
    </x:border>
    <x:border>
      <x:right style="thin">
        <x:color rgb="FF1F4E78"/>
      </x:right>
      <x:bottom style="thin">
        <x:color rgb="FF1F4E78"/>
      </x:bottom>
    </x:border>
    <x:border>
      <x:left style="thin">
        <x:color rgb="FF548235"/>
      </x:left>
      <x:top style="thin">
        <x:color rgb="FF548235"/>
      </x:top>
      <x:bottom style="thin">
        <x:color rgb="FF548235"/>
      </x:bottom>
    </x:border>
    <x:border>
      <x:top style="thin">
        <x:color rgb="FF548235"/>
      </x:top>
      <x:bottom style="thin">
        <x:color rgb="FF548235"/>
      </x:bottom>
    </x:border>
    <x:border>
      <x:right style="thin">
        <x:color rgb="FF548235"/>
      </x:right>
      <x:top style="thin">
        <x:color rgb="FF548235"/>
      </x:top>
      <x:bottom style="thin">
        <x:color rgb="FF548235"/>
      </x:bottom>
    </x:border>
    <x:border>
      <x:left style="thin">
        <x:color rgb="FF548235"/>
      </x:left>
      <x:top style="thin">
        <x:color rgb="FF548235"/>
      </x:top>
    </x:border>
    <x:border>
      <x:top style="thin">
        <x:color rgb="FF548235"/>
      </x:top>
    </x:border>
    <x:border>
      <x:right style="thin">
        <x:color rgb="FF548235"/>
      </x:right>
      <x:top style="thin">
        <x:color rgb="FF548235"/>
      </x:top>
    </x:border>
    <x:border>
      <x:left style="thin">
        <x:color rgb="FF548235"/>
      </x:left>
      <x:bottom style="thin">
        <x:color rgb="FF548235"/>
      </x:bottom>
    </x:border>
    <x:border>
      <x:bottom style="thin">
        <x:color rgb="FF548235"/>
      </x:bottom>
    </x:border>
    <x:border>
      <x:right style="thin">
        <x:color rgb="FF548235"/>
      </x:right>
      <x:bottom style="thin">
        <x:color rgb="FF548235"/>
      </x:bottom>
    </x:border>
    <x:border>
      <x:top style="thin">
        <x:color rgb="FFD9E2F3"/>
      </x:top>
    </x:border>
    <x:border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top style="thin">
        <x:color rgb="FFF4B084"/>
      </x:top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/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201" fontId="5" fillId="0" borderId="5" xfId="0" applyNumberFormat="1" applyFont="1" applyFill="1" applyBorder="1" applyAlignment="1">
      <x:alignment horizontal="center"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201" fontId="5" fillId="0" borderId="6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200" fontId="7" fillId="3" borderId="5" xfId="0" applyNumberFormat="1" applyFont="1" applyFill="1" applyBorder="1" applyAlignment="1">
      <x:alignment horizontal="center" vertical="center" wrapText="1"/>
    </x:xf>
    <x:xf numFmtId="200" fontId="7" fillId="3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202" fontId="8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7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9" fillId="7" borderId="9" xfId="0" applyNumberFormat="1" applyFont="1" applyFill="1" applyBorder="1" applyAlignment="1">
      <x:alignment horizont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203" fontId="10" fillId="7" borderId="10" xfId="0" applyNumberFormat="1" applyFont="1" applyFill="1" applyBorder="1"/>
    <x:xf numFmtId="203" fontId="10" fillId="7" borderId="11" xfId="0" applyNumberFormat="1" applyFont="1" applyFill="1" applyBorder="1"/>
    <x:xf numFmtId="203" fontId="10" fillId="7" borderId="12" xfId="0" applyNumberFormat="1" applyFont="1" applyFill="1" applyBorder="1"/>
    <x:xf numFmtId="203" fontId="10" fillId="7" borderId="13" xfId="0" applyNumberFormat="1" applyFont="1" applyFill="1" applyBorder="1"/>
    <x:xf numFmtId="203" fontId="10" fillId="7" borderId="14" xfId="0" applyNumberFormat="1" applyFont="1" applyFill="1" applyBorder="1"/>
    <x:xf numFmtId="203" fontId="10" fillId="7" borderId="15" xfId="0" applyNumberFormat="1" applyFont="1" applyFill="1" applyBorder="1"/>
    <x:xf numFmtId="203" fontId="10" fillId="7" borderId="10" xfId="0" applyNumberFormat="1" applyFont="1" applyFill="1" applyBorder="1" applyAlignment="1">
      <x:alignment horizontal="center"/>
    </x:xf>
    <x:xf numFmtId="203" fontId="10" fillId="7" borderId="11" xfId="0" applyNumberFormat="1" applyFont="1" applyFill="1" applyBorder="1" applyAlignment="1">
      <x:alignment horizontal="center"/>
    </x:xf>
    <x:xf numFmtId="203" fontId="10" fillId="7" borderId="12" xfId="0" applyNumberFormat="1" applyFont="1" applyFill="1" applyBorder="1" applyAlignment="1">
      <x:alignment horizontal="center"/>
    </x:xf>
    <x:xf numFmtId="203" fontId="10" fillId="7" borderId="13" xfId="0" applyNumberFormat="1" applyFont="1" applyFill="1" applyBorder="1" applyAlignment="1">
      <x:alignment horizontal="center"/>
    </x:xf>
    <x:xf numFmtId="203" fontId="10" fillId="7" borderId="14" xfId="0" applyNumberFormat="1" applyFont="1" applyFill="1" applyBorder="1" applyAlignment="1">
      <x:alignment horizontal="center"/>
    </x:xf>
    <x:xf numFmtId="203" fontId="10" fillId="7" borderId="15" xfId="0" applyNumberFormat="1" applyFont="1" applyFill="1" applyBorder="1" applyAlignment="1">
      <x:alignment horizontal="center"/>
    </x:xf>
    <x:xf numFmtId="203" fontId="10" fillId="7" borderId="10" xfId="0" applyNumberFormat="1" applyFont="1" applyFill="1" applyBorder="1" applyAlignment="1">
      <x:alignment horizontal="center" vertical="center"/>
    </x:xf>
    <x:xf numFmtId="203" fontId="10" fillId="7" borderId="11" xfId="0" applyNumberFormat="1" applyFont="1" applyFill="1" applyBorder="1" applyAlignment="1">
      <x:alignment horizontal="center" vertical="center"/>
    </x:xf>
    <x:xf numFmtId="203" fontId="10" fillId="7" borderId="12" xfId="0" applyNumberFormat="1" applyFont="1" applyFill="1" applyBorder="1" applyAlignment="1">
      <x:alignment horizontal="center" vertical="center"/>
    </x:xf>
    <x:xf numFmtId="203" fontId="10" fillId="7" borderId="13" xfId="0" applyNumberFormat="1" applyFont="1" applyFill="1" applyBorder="1" applyAlignment="1">
      <x:alignment horizontal="center" vertical="center"/>
    </x:xf>
    <x:xf numFmtId="203" fontId="10" fillId="7" borderId="14" xfId="0" applyNumberFormat="1" applyFont="1" applyFill="1" applyBorder="1" applyAlignment="1">
      <x:alignment horizontal="center" vertical="center"/>
    </x:xf>
    <x:xf numFmtId="203" fontId="10" fillId="7" borderId="15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1" fillId="5" borderId="16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6" xfId="0" applyNumberFormat="1" applyFont="1" applyFill="1" applyBorder="1" applyAlignment="1">
      <x:alignment horizontal="center"/>
    </x:xf>
    <x:xf numFmtId="0" fontId="11" fillId="5" borderId="17" xfId="0" applyNumberFormat="1" applyFont="1" applyFill="1" applyBorder="1" applyAlignment="1">
      <x:alignment horizontal="center"/>
    </x:xf>
    <x:xf numFmtId="0" fontId="11" fillId="5" borderId="18" xfId="0" applyNumberFormat="1" applyFont="1" applyFill="1" applyBorder="1" applyAlignment="1">
      <x:alignment horizontal="center"/>
    </x:xf>
    <x:xf numFmtId="0" fontId="11" fillId="5" borderId="16" xfId="0" applyNumberFormat="1" applyFont="1" applyFill="1" applyBorder="1" applyAlignment="1">
      <x:alignment horizontal="center" vertical="center"/>
    </x:xf>
    <x:xf numFmtId="0" fontId="11" fillId="5" borderId="17" xfId="0" applyNumberFormat="1" applyFont="1" applyFill="1" applyBorder="1" applyAlignment="1">
      <x:alignment horizontal="center" vertical="center"/>
    </x:xf>
    <x:xf numFmtId="0" fontId="11" fillId="5" borderId="18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19" xfId="0" applyNumberFormat="1" applyFont="1" applyFill="1" applyBorder="1"/>
    <x:xf numFmtId="0" fontId="12" fillId="5" borderId="20" xfId="0" applyNumberFormat="1" applyFont="1" applyFill="1" applyBorder="1"/>
    <x:xf numFmtId="0" fontId="12" fillId="5" borderId="21" xfId="0" applyNumberFormat="1" applyFont="1" applyFill="1" applyBorder="1"/>
    <x:xf numFmtId="0" fontId="12" fillId="5" borderId="22" xfId="0" applyNumberFormat="1" applyFont="1" applyFill="1" applyBorder="1"/>
    <x:xf numFmtId="0" fontId="12" fillId="5" borderId="23" xfId="0" applyNumberFormat="1" applyFont="1" applyFill="1" applyBorder="1"/>
    <x:xf numFmtId="0" fontId="12" fillId="5" borderId="24" xfId="0" applyNumberFormat="1" applyFont="1" applyFill="1" applyBorder="1"/>
    <x:xf numFmtId="203" fontId="12" fillId="5" borderId="19" xfId="0" applyNumberFormat="1" applyFont="1" applyFill="1" applyBorder="1"/>
    <x:xf numFmtId="203" fontId="12" fillId="5" borderId="20" xfId="0" applyNumberFormat="1" applyFont="1" applyFill="1" applyBorder="1"/>
    <x:xf numFmtId="203" fontId="12" fillId="5" borderId="21" xfId="0" applyNumberFormat="1" applyFont="1" applyFill="1" applyBorder="1"/>
    <x:xf numFmtId="203" fontId="12" fillId="5" borderId="22" xfId="0" applyNumberFormat="1" applyFont="1" applyFill="1" applyBorder="1"/>
    <x:xf numFmtId="203" fontId="12" fillId="5" borderId="23" xfId="0" applyNumberFormat="1" applyFont="1" applyFill="1" applyBorder="1"/>
    <x:xf numFmtId="203" fontId="12" fillId="5" borderId="24" xfId="0" applyNumberFormat="1" applyFont="1" applyFill="1" applyBorder="1"/>
    <x:xf numFmtId="203" fontId="12" fillId="5" borderId="19" xfId="0" applyNumberFormat="1" applyFont="1" applyFill="1" applyBorder="1" applyAlignment="1">
      <x:alignment horizontal="center"/>
    </x:xf>
    <x:xf numFmtId="203" fontId="12" fillId="5" borderId="20" xfId="0" applyNumberFormat="1" applyFont="1" applyFill="1" applyBorder="1" applyAlignment="1">
      <x:alignment horizontal="center"/>
    </x:xf>
    <x:xf numFmtId="203" fontId="12" fillId="5" borderId="21" xfId="0" applyNumberFormat="1" applyFont="1" applyFill="1" applyBorder="1" applyAlignment="1">
      <x:alignment horizontal="center"/>
    </x:xf>
    <x:xf numFmtId="203" fontId="12" fillId="5" borderId="22" xfId="0" applyNumberFormat="1" applyFont="1" applyFill="1" applyBorder="1" applyAlignment="1">
      <x:alignment horizontal="center"/>
    </x:xf>
    <x:xf numFmtId="203" fontId="12" fillId="5" borderId="23" xfId="0" applyNumberFormat="1" applyFont="1" applyFill="1" applyBorder="1" applyAlignment="1">
      <x:alignment horizontal="center"/>
    </x:xf>
    <x:xf numFmtId="203" fontId="12" fillId="5" borderId="24" xfId="0" applyNumberFormat="1" applyFont="1" applyFill="1" applyBorder="1" applyAlignment="1">
      <x:alignment horizontal="center"/>
    </x:xf>
    <x:xf numFmtId="203" fontId="12" fillId="5" borderId="19" xfId="0" applyNumberFormat="1" applyFont="1" applyFill="1" applyBorder="1" applyAlignment="1">
      <x:alignment horizontal="center" vertical="center"/>
    </x:xf>
    <x:xf numFmtId="203" fontId="12" fillId="5" borderId="20" xfId="0" applyNumberFormat="1" applyFont="1" applyFill="1" applyBorder="1" applyAlignment="1">
      <x:alignment horizontal="center" vertical="center"/>
    </x:xf>
    <x:xf numFmtId="203" fontId="12" fillId="5" borderId="21" xfId="0" applyNumberFormat="1" applyFont="1" applyFill="1" applyBorder="1" applyAlignment="1">
      <x:alignment horizontal="center" vertical="center"/>
    </x:xf>
    <x:xf numFmtId="203" fontId="12" fillId="5" borderId="22" xfId="0" applyNumberFormat="1" applyFont="1" applyFill="1" applyBorder="1" applyAlignment="1">
      <x:alignment horizontal="center" vertical="center"/>
    </x:xf>
    <x:xf numFmtId="203" fontId="12" fillId="5" borderId="23" xfId="0" applyNumberFormat="1" applyFont="1" applyFill="1" applyBorder="1" applyAlignment="1">
      <x:alignment horizontal="center" vertical="center"/>
    </x:xf>
    <x:xf numFmtId="203" fontId="12" fillId="5" borderId="2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vertical="center" wrapText="1"/>
    </x:xf>
    <x:xf numFmtId="0" fontId="14" fillId="7" borderId="6" xfId="0" applyNumberFormat="1" applyFont="1" applyFill="1" applyBorder="1" applyAlignment="1">
      <x:alignment vertical="center" wrapText="1"/>
    </x:xf>
    <x:xf numFmtId="0" fontId="14" fillId="3" borderId="6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horizontal="center" vertical="center" wrapText="1"/>
    </x:xf>
    <x:xf numFmtId="0" fontId="14" fillId="3" borderId="6" xfId="0" applyNumberFormat="1" applyFont="1" applyFill="1" applyBorder="1" applyAlignment="1">
      <x:alignment horizontal="center" vertical="center" wrapText="1"/>
    </x:xf>
    <x:xf numFmtId="203" fontId="5" fillId="0" borderId="5" xfId="0" applyNumberFormat="1" applyFont="1" applyFill="1" applyBorder="1" applyAlignment="1">
      <x:alignment vertical="center" wrapText="1"/>
    </x:xf>
    <x:xf numFmtId="203" fontId="5" fillId="0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0" fontId="15" fillId="7" borderId="0" xfId="0" applyNumberFormat="1" applyFont="1" applyFill="1" applyBorder="1"/>
    <x:xf numFmtId="0" fontId="15" fillId="7" borderId="5" xfId="0" applyNumberFormat="1" applyFont="1" applyFill="1" applyBorder="1"/>
    <x:xf numFmtId="0" fontId="15" fillId="7" borderId="6" xfId="0" applyNumberFormat="1" applyFont="1" applyFill="1" applyBorder="1"/>
    <x:xf numFmtId="0" fontId="15" fillId="7" borderId="25" xfId="0" applyNumberFormat="1" applyFont="1" applyFill="1" applyBorder="1"/>
    <x:xf numFmtId="0" fontId="15" fillId="7" borderId="5" xfId="0" applyNumberFormat="1" applyFont="1" applyFill="1" applyBorder="1" applyAlignment="1">
      <x:alignment wrapText="1"/>
    </x:xf>
    <x:xf numFmtId="0" fontId="15" fillId="7" borderId="6" xfId="0" applyNumberFormat="1" applyFont="1" applyFill="1" applyBorder="1" applyAlignment="1">
      <x:alignment wrapText="1"/>
    </x:xf>
    <x:xf numFmtId="0" fontId="15" fillId="7" borderId="25" xfId="0" applyNumberFormat="1" applyFont="1" applyFill="1" applyBorder="1" applyAlignment="1">
      <x:alignment wrapText="1"/>
    </x:xf>
    <x:xf numFmtId="0" fontId="15" fillId="7" borderId="5" xfId="0" applyNumberFormat="1" applyFont="1" applyFill="1" applyBorder="1" applyAlignment="1">
      <x:alignment vertical="center" wrapText="1"/>
    </x:xf>
    <x:xf numFmtId="0" fontId="15" fillId="7" borderId="6" xfId="0" applyNumberFormat="1" applyFont="1" applyFill="1" applyBorder="1" applyAlignment="1">
      <x:alignment vertical="center" wrapText="1"/>
    </x:xf>
    <x:xf numFmtId="0" fontId="15" fillId="7" borderId="2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6" fillId="9" borderId="0" xfId="0" applyNumberFormat="1" applyFont="1" applyFill="1" applyBorder="1"/>
    <x:xf numFmtId="0" fontId="16" fillId="9" borderId="26" xfId="0" applyNumberFormat="1" applyFont="1" applyFill="1" applyBorder="1"/>
    <x:xf numFmtId="0" fontId="16" fillId="9" borderId="27" xfId="0" applyNumberFormat="1" applyFont="1" applyFill="1" applyBorder="1"/>
    <x:xf numFmtId="0" fontId="16" fillId="9" borderId="28" xfId="0" applyNumberFormat="1" applyFont="1" applyFill="1" applyBorder="1"/>
    <x:xf numFmtId="0" fontId="16" fillId="9" borderId="26" xfId="0" applyNumberFormat="1" applyFont="1" applyFill="1" applyBorder="1" applyAlignment="1">
      <x:alignment wrapText="1"/>
    </x:xf>
    <x:xf numFmtId="0" fontId="16" fillId="9" borderId="27" xfId="0" applyNumberFormat="1" applyFont="1" applyFill="1" applyBorder="1" applyAlignment="1">
      <x:alignment wrapText="1"/>
    </x:xf>
    <x:xf numFmtId="0" fontId="16" fillId="9" borderId="28" xfId="0" applyNumberFormat="1" applyFont="1" applyFill="1" applyBorder="1" applyAlignment="1">
      <x:alignment wrapText="1"/>
    </x:xf>
    <x:xf numFmtId="0" fontId="16" fillId="9" borderId="26" xfId="0" applyNumberFormat="1" applyFont="1" applyFill="1" applyBorder="1" applyAlignment="1">
      <x:alignment vertical="center" wrapText="1"/>
    </x:xf>
    <x:xf numFmtId="0" fontId="16" fillId="9" borderId="27" xfId="0" applyNumberFormat="1" applyFont="1" applyFill="1" applyBorder="1" applyAlignment="1">
      <x:alignment vertical="center" wrapText="1"/>
    </x:xf>
    <x:xf numFmtId="0" fontId="16" fillId="9" borderId="28" xfId="0" applyNumberFormat="1" applyFont="1" applyFill="1" applyBorder="1" applyAlignment="1">
      <x:alignment vertical="center" wrapText="1"/>
    </x:xf>
    <x:xf numFmtId="0" fontId="17" fillId="9" borderId="26" xfId="0" applyNumberFormat="1" applyFont="1" applyFill="1" applyBorder="1" applyAlignment="1">
      <x:alignment vertical="center" wrapText="1"/>
    </x:xf>
    <x:xf numFmtId="0" fontId="17" fillId="9" borderId="27" xfId="0" applyNumberFormat="1" applyFont="1" applyFill="1" applyBorder="1" applyAlignment="1">
      <x:alignment vertical="center" wrapText="1"/>
    </x:xf>
    <x:xf numFmtId="0" fontId="17" fillId="9" borderId="28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/>
    <x:xf numFmtId="0" fontId="18" fillId="6" borderId="29" xfId="0" applyNumberFormat="1" applyFont="1" applyFill="1" applyBorder="1"/>
    <x:xf numFmtId="0" fontId="18" fillId="6" borderId="30" xfId="0" applyNumberFormat="1" applyFont="1" applyFill="1" applyBorder="1"/>
    <x:xf numFmtId="0" fontId="18" fillId="6" borderId="31" xfId="0" applyNumberFormat="1" applyFont="1" applyFill="1" applyBorder="1"/>
    <x:xf numFmtId="0" fontId="18" fillId="6" borderId="32" xfId="0" applyNumberFormat="1" applyFont="1" applyFill="1" applyBorder="1"/>
    <x:xf numFmtId="0" fontId="18" fillId="6" borderId="33" xfId="0" applyNumberFormat="1" applyFont="1" applyFill="1" applyBorder="1"/>
    <x:xf numFmtId="0" fontId="18" fillId="6" borderId="34" xfId="0" applyNumberFormat="1" applyFont="1" applyFill="1" applyBorder="1"/>
    <x:xf numFmtId="0" fontId="18" fillId="6" borderId="29" xfId="0" applyNumberFormat="1" applyFont="1" applyFill="1" applyBorder="1" applyAlignment="1">
      <x:alignment wrapText="1"/>
    </x:xf>
    <x:xf numFmtId="0" fontId="18" fillId="6" borderId="30" xfId="0" applyNumberFormat="1" applyFont="1" applyFill="1" applyBorder="1" applyAlignment="1">
      <x:alignment wrapText="1"/>
    </x:xf>
    <x:xf numFmtId="0" fontId="18" fillId="6" borderId="31" xfId="0" applyNumberFormat="1" applyFont="1" applyFill="1" applyBorder="1" applyAlignment="1">
      <x:alignment wrapText="1"/>
    </x:xf>
    <x:xf numFmtId="0" fontId="18" fillId="6" borderId="32" xfId="0" applyNumberFormat="1" applyFont="1" applyFill="1" applyBorder="1" applyAlignment="1">
      <x:alignment wrapText="1"/>
    </x:xf>
    <x:xf numFmtId="0" fontId="18" fillId="6" borderId="33" xfId="0" applyNumberFormat="1" applyFont="1" applyFill="1" applyBorder="1" applyAlignment="1">
      <x:alignment wrapText="1"/>
    </x:xf>
    <x:xf numFmtId="0" fontId="18" fillId="6" borderId="34" xfId="0" applyNumberFormat="1" applyFont="1" applyFill="1" applyBorder="1" applyAlignment="1">
      <x:alignment wrapText="1"/>
    </x:xf>
    <x:xf numFmtId="0" fontId="18" fillId="6" borderId="29" xfId="0" applyNumberFormat="1" applyFont="1" applyFill="1" applyBorder="1" applyAlignment="1">
      <x:alignment vertical="center" wrapText="1"/>
    </x:xf>
    <x:xf numFmtId="0" fontId="18" fillId="6" borderId="30" xfId="0" applyNumberFormat="1" applyFont="1" applyFill="1" applyBorder="1" applyAlignment="1">
      <x:alignment vertical="center" wrapText="1"/>
    </x:xf>
    <x:xf numFmtId="0" fontId="18" fillId="6" borderId="31" xfId="0" applyNumberFormat="1" applyFont="1" applyFill="1" applyBorder="1" applyAlignment="1">
      <x:alignment vertical="center" wrapText="1"/>
    </x:xf>
    <x:xf numFmtId="0" fontId="18" fillId="6" borderId="32" xfId="0" applyNumberFormat="1" applyFont="1" applyFill="1" applyBorder="1" applyAlignment="1">
      <x:alignment vertical="center" wrapText="1"/>
    </x:xf>
    <x:xf numFmtId="0" fontId="18" fillId="6" borderId="33" xfId="0" applyNumberFormat="1" applyFont="1" applyFill="1" applyBorder="1" applyAlignment="1">
      <x:alignment vertical="center" wrapText="1"/>
    </x:xf>
    <x:xf numFmtId="0" fontId="18" fillId="6" borderId="34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202" fontId="5" fillId="0" borderId="6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horizontal="center" vertical="center" wrapText="1"/>
    </x:xf>
    <x:xf numFmtId="202" fontId="5" fillId="0" borderId="6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19" fillId="5" borderId="5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  <x:xf numFmtId="0" fontId="19" fillId="5" borderId="5" xfId="0" applyNumberFormat="1" applyFont="1" applyFill="1" applyBorder="1" applyAlignment="1">
      <x:alignment horizontal="center" vertical="center" wrapText="1"/>
    </x:xf>
    <x:xf numFmtId="0" fontId="19" fillId="5" borderId="6" xfId="0" applyNumberFormat="1" applyFont="1" applyFill="1" applyBorder="1" applyAlignment="1">
      <x:alignment horizontal="center" vertical="center" wrapText="1"/>
    </x:xf>
    <x:xf numFmtId="0" fontId="5" fillId="0" borderId="25" xfId="0" applyNumberFormat="1" applyFont="1" applyFill="1" applyBorder="1"/>
    <x:xf numFmtId="0" fontId="5" fillId="0" borderId="25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vertical="center" wrapText="1"/>
    </x:xf>
    <x:xf numFmtId="0" fontId="20" fillId="2" borderId="0" xfId="0" applyNumberFormat="1" applyFont="1" applyFill="1" applyBorder="1" applyAlignment="1">
      <x:alignment vertical="center"/>
    </x:xf>
    <x:xf numFmtId="0" fontId="21" fillId="6" borderId="0" xfId="0" applyNumberFormat="1" applyFont="1" applyFill="1" applyBorder="1" applyAlignment="1">
      <x:alignment vertical="center" wrapText="1"/>
    </x:xf>
    <x:xf numFmtId="202" fontId="21" fillId="6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203" fontId="9" fillId="7" borderId="10" xfId="0" applyNumberFormat="1" applyFont="1" applyFill="1" applyBorder="1" applyAlignment="1">
      <x:alignment horizontal="center" vertical="center"/>
    </x:xf>
    <x:xf numFmtId="203" fontId="9" fillId="7" borderId="11" xfId="0" applyNumberFormat="1" applyFont="1" applyFill="1" applyBorder="1" applyAlignment="1">
      <x:alignment horizontal="center" vertical="center"/>
    </x:xf>
    <x:xf numFmtId="203" fontId="9" fillId="7" borderId="12" xfId="0" applyNumberFormat="1" applyFont="1" applyFill="1" applyBorder="1" applyAlignment="1">
      <x:alignment horizontal="center" vertical="center"/>
    </x:xf>
    <x:xf numFmtId="203" fontId="11" fillId="5" borderId="19" xfId="0" applyNumberFormat="1" applyFont="1" applyFill="1" applyBorder="1" applyAlignment="1">
      <x:alignment horizontal="center" vertical="center"/>
    </x:xf>
    <x:xf numFmtId="203" fontId="11" fillId="5" borderId="20" xfId="0" applyNumberFormat="1" applyFont="1" applyFill="1" applyBorder="1" applyAlignment="1">
      <x:alignment horizontal="center" vertical="center"/>
    </x:xf>
    <x:xf numFmtId="203" fontId="11" fillId="5" borderId="21" xfId="0" applyNumberFormat="1" applyFont="1" applyFill="1" applyBorder="1" applyAlignment="1">
      <x:alignment horizontal="center" vertical="center"/>
    </x:xf>
    <x:xf numFmtId="203" fontId="9" fillId="7" borderId="13" xfId="0" applyNumberFormat="1" applyFont="1" applyFill="1" applyBorder="1" applyAlignment="1">
      <x:alignment horizontal="center" vertical="center"/>
    </x:xf>
    <x:xf numFmtId="203" fontId="9" fillId="7" borderId="14" xfId="0" applyNumberFormat="1" applyFont="1" applyFill="1" applyBorder="1" applyAlignment="1">
      <x:alignment horizontal="center" vertical="center"/>
    </x:xf>
    <x:xf numFmtId="203" fontId="9" fillId="7" borderId="15" xfId="0" applyNumberFormat="1" applyFont="1" applyFill="1" applyBorder="1" applyAlignment="1">
      <x:alignment horizontal="center" vertical="center"/>
    </x:xf>
    <x:xf numFmtId="203" fontId="11" fillId="5" borderId="22" xfId="0" applyNumberFormat="1" applyFont="1" applyFill="1" applyBorder="1" applyAlignment="1">
      <x:alignment horizontal="center" vertical="center"/>
    </x:xf>
    <x:xf numFmtId="203" fontId="11" fillId="5" borderId="23" xfId="0" applyNumberFormat="1" applyFont="1" applyFill="1" applyBorder="1" applyAlignment="1">
      <x:alignment horizontal="center" vertical="center"/>
    </x:xf>
    <x:xf numFmtId="203" fontId="11" fillId="5" borderId="2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22" fillId="0" borderId="5" xfId="0" applyNumberFormat="1" applyFont="1" applyFill="1" applyBorder="1" applyAlignment="1">
      <x:alignment vertical="center" wrapText="1"/>
    </x:xf>
    <x:xf numFmtId="200" fontId="22" fillId="0" borderId="5" xfId="0" applyNumberFormat="1" applyFont="1" applyFill="1" applyBorder="1" applyAlignment="1">
      <x:alignment vertical="center" wrapText="1"/>
    </x:xf>
    <x:xf numFmtId="203" fontId="22" fillId="0" borderId="5" xfId="0" applyNumberFormat="1" applyFont="1" applyFill="1" applyBorder="1" applyAlignment="1">
      <x:alignment vertical="center" wrapText="1"/>
    </x:xf>
    <x:xf numFmtId="201" fontId="22" fillId="0" borderId="5" xfId="0" applyNumberFormat="1" applyFont="1" applyFill="1" applyBorder="1" applyAlignment="1">
      <x:alignment vertical="center" wrapText="1"/>
    </x:xf>
    <x:xf numFmtId="0" fontId="23" fillId="0" borderId="5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22" fillId="0" borderId="6" xfId="0" applyNumberFormat="1" applyFont="1" applyFill="1" applyBorder="1" applyAlignment="1">
      <x:alignment vertical="center" wrapText="1"/>
    </x:xf>
    <x:xf numFmtId="200" fontId="22" fillId="0" borderId="6" xfId="0" applyNumberFormat="1" applyFont="1" applyFill="1" applyBorder="1" applyAlignment="1">
      <x:alignment vertical="center" wrapText="1"/>
    </x:xf>
    <x:xf numFmtId="203" fontId="22" fillId="0" borderId="6" xfId="0" applyNumberFormat="1" applyFont="1" applyFill="1" applyBorder="1" applyAlignment="1">
      <x:alignment vertical="center" wrapText="1"/>
    </x:xf>
    <x:xf numFmtId="201" fontId="22" fillId="0" borderId="6" xfId="0" applyNumberFormat="1" applyFont="1" applyFill="1" applyBorder="1" applyAlignment="1">
      <x:alignment vertical="center" wrapText="1"/>
    </x:xf>
    <x:xf numFmtId="0" fontId="23" fillId="0" borderId="6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201" fontId="11" fillId="5" borderId="3" xfId="0" applyNumberFormat="1" applyFont="1" applyFill="1" applyBorder="1"/>
    <x:xf numFmtId="0" fontId="11" fillId="5" borderId="4" xfId="0" applyNumberFormat="1" applyFont="1" applyFill="1" applyBorder="1"/>
    <x:xf numFmtId="0" fontId="24" fillId="7" borderId="5" xfId="0" applyNumberFormat="1" applyFont="1" applyFill="1" applyBorder="1" applyAlignment="1">
      <x:alignment vertical="center" wrapText="1"/>
    </x:xf>
    <x:xf numFmtId="0" fontId="25" fillId="9" borderId="26" xfId="0" applyNumberFormat="1" applyFont="1" applyFill="1" applyBorder="1" applyAlignment="1">
      <x:alignment vertical="center" wrapText="1"/>
    </x:xf>
    <x:xf numFmtId="0" fontId="26" fillId="9" borderId="26" xfId="0" applyNumberFormat="1" applyFont="1" applyFill="1" applyBorder="1" applyAlignment="1">
      <x:alignment vertical="center" wrapText="1"/>
    </x:xf>
    <x:xf numFmtId="0" fontId="24" fillId="7" borderId="6" xfId="0" applyNumberFormat="1" applyFont="1" applyFill="1" applyBorder="1" applyAlignment="1">
      <x:alignment vertical="center" wrapText="1"/>
    </x:xf>
    <x:xf numFmtId="0" fontId="25" fillId="9" borderId="27" xfId="0" applyNumberFormat="1" applyFont="1" applyFill="1" applyBorder="1" applyAlignment="1">
      <x:alignment vertical="center" wrapText="1"/>
    </x:xf>
    <x:xf numFmtId="0" fontId="26" fillId="9" borderId="27" xfId="0" applyNumberFormat="1" applyFont="1" applyFill="1" applyBorder="1" applyAlignment="1">
      <x:alignment vertical="center" wrapText="1"/>
    </x:xf>
    <x:xf numFmtId="0" fontId="24" fillId="7" borderId="25" xfId="0" applyNumberFormat="1" applyFont="1" applyFill="1" applyBorder="1" applyAlignment="1">
      <x:alignment vertical="center" wrapText="1"/>
    </x:xf>
    <x:xf numFmtId="0" fontId="25" fillId="9" borderId="28" xfId="0" applyNumberFormat="1" applyFont="1" applyFill="1" applyBorder="1" applyAlignment="1">
      <x:alignment vertical="center" wrapText="1"/>
    </x:xf>
    <x:xf numFmtId="0" fontId="26" fillId="9" borderId="28" xfId="0" applyNumberFormat="1" applyFont="1" applyFill="1" applyBorder="1" applyAlignment="1">
      <x:alignment vertical="center" wrapText="1"/>
    </x:xf>
    <x:xf numFmtId="0" fontId="27" fillId="6" borderId="29" xfId="0" applyNumberFormat="1" applyFont="1" applyFill="1" applyBorder="1" applyAlignment="1">
      <x:alignment vertical="center" wrapText="1"/>
    </x:xf>
    <x:xf numFmtId="0" fontId="27" fillId="6" borderId="30" xfId="0" applyNumberFormat="1" applyFont="1" applyFill="1" applyBorder="1" applyAlignment="1">
      <x:alignment vertical="center" wrapText="1"/>
    </x:xf>
    <x:xf numFmtId="0" fontId="27" fillId="6" borderId="31" xfId="0" applyNumberFormat="1" applyFont="1" applyFill="1" applyBorder="1" applyAlignment="1">
      <x:alignment vertical="center" wrapText="1"/>
    </x:xf>
    <x:xf numFmtId="0" fontId="27" fillId="6" borderId="32" xfId="0" applyNumberFormat="1" applyFont="1" applyFill="1" applyBorder="1" applyAlignment="1">
      <x:alignment vertical="center" wrapText="1"/>
    </x:xf>
    <x:xf numFmtId="0" fontId="27" fillId="6" borderId="33" xfId="0" applyNumberFormat="1" applyFont="1" applyFill="1" applyBorder="1" applyAlignment="1">
      <x:alignment vertical="center" wrapText="1"/>
    </x:xf>
    <x:xf numFmtId="0" fontId="27" fillId="6" borderId="34" xfId="0" applyNumberFormat="1" applyFont="1" applyFill="1" applyBorder="1" applyAlignment="1">
      <x:alignment vertical="center" wrapText="1"/>
    </x:xf>
    <x:xf numFmtId="0" fontId="22" fillId="0" borderId="5" xfId="0" applyNumberFormat="1" applyFont="1" applyFill="1" applyBorder="1" applyAlignment="1">
      <x:alignment horizontal="center" vertical="center" wrapText="1"/>
    </x:xf>
    <x:xf numFmtId="200" fontId="22" fillId="0" borderId="5" xfId="0" applyNumberFormat="1" applyFont="1" applyFill="1" applyBorder="1" applyAlignment="1">
      <x:alignment horizontal="center" vertical="center" wrapText="1"/>
    </x:xf>
    <x:xf numFmtId="201" fontId="22" fillId="0" borderId="5" xfId="0" applyNumberFormat="1" applyFont="1" applyFill="1" applyBorder="1" applyAlignment="1">
      <x:alignment horizontal="center" vertical="center" wrapText="1"/>
    </x:xf>
    <x:xf numFmtId="0" fontId="22" fillId="0" borderId="6" xfId="0" applyNumberFormat="1" applyFont="1" applyFill="1" applyBorder="1" applyAlignment="1">
      <x:alignment horizontal="center" vertical="center" wrapText="1"/>
    </x:xf>
    <x:xf numFmtId="200" fontId="22" fillId="0" borderId="6" xfId="0" applyNumberFormat="1" applyFont="1" applyFill="1" applyBorder="1" applyAlignment="1">
      <x:alignment horizontal="center" vertical="center" wrapText="1"/>
    </x:xf>
    <x:xf numFmtId="201" fontId="22" fillId="0" borderId="6" xfId="0" applyNumberFormat="1" applyFont="1" applyFill="1" applyBorder="1" applyAlignment="1">
      <x:alignment horizontal="center" vertical="center" wrapText="1"/>
    </x:xf>
    <x:xf numFmtId="200" fontId="28" fillId="3" borderId="5" xfId="0" applyNumberFormat="1" applyFont="1" applyFill="1" applyBorder="1" applyAlignment="1">
      <x:alignment horizontal="center" vertical="center" wrapText="1"/>
    </x:xf>
    <x:xf numFmtId="200" fontId="28" fillId="3" borderId="6" xfId="0" applyNumberFormat="1" applyFont="1" applyFill="1" applyBorder="1" applyAlignment="1">
      <x:alignment horizontal="center" vertical="center" wrapText="1"/>
    </x:xf>
    <x:xf numFmtId="202" fontId="22" fillId="0" borderId="5" xfId="0" applyNumberFormat="1" applyFont="1" applyFill="1" applyBorder="1" applyAlignment="1">
      <x:alignment horizontal="center" vertical="center" wrapText="1"/>
    </x:xf>
    <x:xf numFmtId="202" fontId="22" fillId="0" borderId="6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20" fillId="8" borderId="0" xfId="0" applyNumberFormat="1" applyFont="1" applyFill="1" applyBorder="1"/>
    <x:xf numFmtId="0" fontId="22" fillId="0" borderId="2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5b9cbf76f445a" /><Relationship Type="http://schemas.openxmlformats.org/officeDocument/2006/relationships/theme" Target="/xl/theme/theme1.xml" Id="R5c0c1457c5ca409d" /><Relationship Type="http://schemas.openxmlformats.org/officeDocument/2006/relationships/sharedStrings" Target="/xl/sharedStrings.xml" Id="R95724217e7b04631" /><Relationship Type="http://schemas.openxmlformats.org/officeDocument/2006/relationships/worksheet" Target="/xl/worksheets/sheet1.xml" Id="R9ddca00e2b3d4e8d" /><Relationship Type="http://schemas.openxmlformats.org/officeDocument/2006/relationships/worksheet" Target="/xl/worksheets/sheet2.xml" Id="R539a09de94b74998" /><Relationship Type="http://schemas.openxmlformats.org/officeDocument/2006/relationships/worksheet" Target="/xl/worksheets/sheet3.xml" Id="R585f3cee244a4e8b" /><Relationship Type="http://schemas.openxmlformats.org/officeDocument/2006/relationships/worksheet" Target="/xl/worksheets/sheet4.xml" Id="R4fb041a30d934d84" /><Relationship Type="http://schemas.openxmlformats.org/officeDocument/2006/relationships/worksheet" Target="/xl/worksheets/sheet5.xml" Id="Rae1881b7f47e42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6" hidden="0" customWidth="1"/>
    <x:col min="4" max="4" width="28" hidden="0" customWidth="1"/>
    <x:col min="5" max="5" width="37" hidden="0" customWidth="1"/>
    <x:col min="6" max="6" width="28" hidden="0" customWidth="1"/>
    <x:col min="7" max="7" width="13" hidden="0" customWidth="1"/>
    <x:col min="8" max="8" width="15" hidden="0" customWidth="1"/>
    <x:col min="9" max="9" width="16" hidden="0" customWidth="1"/>
    <x:col min="10" max="10" width="14" hidden="0" customWidth="1"/>
    <x:col min="11" max="11" width="14" hidden="0" customWidth="1"/>
    <x:col min="12" max="12" width="44" hidden="0" customWidth="1"/>
  </x:cols>
  <x:sheetData>
    <x:row r="1" ht="34" customHeight="1">
      <x:c r="A1" s="195" t="str">
        <x:v>新 APP / 小程序 · 阿里云云资源具体价格表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</x:row>
    <x:row r="2" ht="42" customHeight="1">
      <x:c r="A2" s="7" t="str">
        <x:v>本表仅列实际配置和原价测算，不设置额外预算预留。全部价格均未计算新客、活动、包年、资源包、代金券、企业协议价及免费额度；固定资源按具体配置列价，按量资源按“实际用量 × 原价单价”计算。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2" customHeight="1">
      <x:c r="A3" s="196" t="str">
        <x:v>报价日期</x:v>
      </x:c>
      <x:c r="B3" s="197" t="n">
        <x:v>46268</x:v>
      </x:c>
      <x:c r="C3" s="196" t="str">
        <x:v>部署地域</x:v>
      </x:c>
      <x:c r="D3" s="196" t="str">
        <x:v>华东1（杭州）</x:v>
      </x:c>
      <x:c r="E3" s="196" t="str">
        <x:v>报价币种</x:v>
      </x:c>
      <x:c r="F3" s="196" t="str">
        <x:v>人民币</x:v>
      </x:c>
      <x:c r="G3" s="196" t="str">
        <x:v>部署阶段</x:v>
      </x:c>
      <x:c r="H3" s="196" t="str">
        <x:v>冷启动正式上线</x:v>
      </x:c>
      <x:c r="I3" s="196" t="str">
        <x:v>价格口径</x:v>
      </x:c>
      <x:c r="J3" s="196" t="str">
        <x:v>未折扣原价</x:v>
      </x:c>
      <x:c r="K3" s="196" t="str">
        <x:v>版本</x:v>
      </x:c>
      <x:c r="L3" s="196" t="str">
        <x:v>V3.0</x:v>
      </x:c>
    </x:row>
    <x:row r="4">
      <x:c r="A4" s="198"/>
      <x:c r="B4" s="198"/>
      <x:c r="C4" s="198"/>
      <x:c r="D4" s="198"/>
      <x:c r="E4" s="198"/>
      <x:c r="F4" s="198"/>
      <x:c r="G4" s="198"/>
      <x:c r="H4" s="198"/>
      <x:c r="I4" s="198"/>
      <x:c r="J4" s="198"/>
      <x:c r="K4" s="198"/>
      <x:c r="L4" s="198"/>
    </x:row>
    <x:row r="5" ht="28" customHeight="1">
      <x:c r="A5" s="60" t="str">
        <x:v>固定资源月费</x:v>
      </x:c>
      <x:c r="B5" s="61"/>
      <x:c r="C5" s="62"/>
      <x:c r="D5" s="60" t="str">
        <x:v>按量资源月费（当前用量）</x:v>
      </x:c>
      <x:c r="E5" s="61"/>
      <x:c r="F5" s="62"/>
      <x:c r="G5" s="95" t="str">
        <x:v>原价合计月费</x:v>
      </x:c>
      <x:c r="H5" s="96"/>
      <x:c r="I5" s="97"/>
      <x:c r="J5" s="95" t="str">
        <x:v>原价合计年费</x:v>
      </x:c>
      <x:c r="K5" s="96"/>
      <x:c r="L5" s="97"/>
    </x:row>
    <x:row r="6" ht="28" customHeight="1">
      <x:c r="A6" s="199" t="n">
        <x:f>'固定资源'!I15</x:f>
        <x:v>633.8133333333334</x:v>
      </x:c>
      <x:c r="B6" s="200"/>
      <x:c r="C6" s="201"/>
      <x:c r="D6" s="199" t="n">
        <x:f>'按量计费'!I17</x:f>
        <x:v>308.00300000000004</x:v>
      </x:c>
      <x:c r="E6" s="200"/>
      <x:c r="F6" s="201"/>
      <x:c r="G6" s="202" t="n">
        <x:f>ROUND('固定资源'!I15+'按量计费'!I17,2)</x:f>
        <x:v>941.82</x:v>
      </x:c>
      <x:c r="H6" s="203"/>
      <x:c r="I6" s="204"/>
      <x:c r="J6" s="202" t="n">
        <x:f>ROUND('固定资源'!J15+'按量计费'!J17,2)</x:f>
        <x:v>11301.8</x:v>
      </x:c>
      <x:c r="K6" s="203"/>
      <x:c r="L6" s="204"/>
    </x:row>
    <x:row r="7" ht="28" customHeight="1">
      <x:c r="A7" s="205"/>
      <x:c r="B7" s="206"/>
      <x:c r="C7" s="207"/>
      <x:c r="D7" s="205"/>
      <x:c r="E7" s="206"/>
      <x:c r="F7" s="207"/>
      <x:c r="G7" s="208"/>
      <x:c r="H7" s="209"/>
      <x:c r="I7" s="210"/>
      <x:c r="J7" s="208"/>
      <x:c r="K7" s="209"/>
      <x:c r="L7" s="210"/>
    </x:row>
    <x:row r="8">
      <x:c r="A8" s="198"/>
      <x:c r="B8" s="198"/>
      <x:c r="C8" s="198"/>
      <x:c r="D8" s="198"/>
      <x:c r="E8" s="198"/>
      <x:c r="F8" s="198"/>
      <x:c r="G8" s="198"/>
      <x:c r="H8" s="198"/>
      <x:c r="I8" s="198"/>
      <x:c r="J8" s="198"/>
      <x:c r="K8" s="198"/>
      <x:c r="L8" s="198"/>
    </x:row>
    <x:row r="9" ht="34" customHeight="1">
      <x:c r="A9" s="211" t="str">
        <x:v>全部云资源具体价格（未折扣原价）</x:v>
      </x:c>
      <x:c r="B9" s="211"/>
      <x:c r="C9" s="211"/>
      <x:c r="D9" s="211"/>
      <x:c r="E9" s="211"/>
      <x:c r="F9" s="211"/>
      <x:c r="G9" s="211"/>
      <x:c r="H9" s="211"/>
      <x:c r="I9" s="211"/>
      <x:c r="J9" s="211"/>
      <x:c r="K9" s="211"/>
      <x:c r="L9" s="211"/>
    </x:row>
    <x:row r="10" ht="34" customHeight="1">
      <x:c r="A10" s="13" t="str">
        <x:v>序号</x:v>
      </x:c>
      <x:c r="B10" s="13" t="str">
        <x:v>费用类型</x:v>
      </x:c>
      <x:c r="C10" s="13" t="str">
        <x:v>产品</x:v>
      </x:c>
      <x:c r="D10" s="13" t="str">
        <x:v>具体配置/计费项</x:v>
      </x:c>
      <x:c r="E10" s="13" t="str">
        <x:v>配置或用量说明</x:v>
      </x:c>
      <x:c r="F10" s="13" t="str">
        <x:v>计费方式</x:v>
      </x:c>
      <x:c r="G10" s="13" t="str">
        <x:v>数量/用量</x:v>
      </x:c>
      <x:c r="H10" s="13" t="str">
        <x:v>原价单价</x:v>
      </x:c>
      <x:c r="I10" s="13" t="str">
        <x:v>计价单位</x:v>
      </x:c>
      <x:c r="J10" s="13" t="str">
        <x:v>月金额</x:v>
      </x:c>
      <x:c r="K10" s="13" t="str">
        <x:v>年金额</x:v>
      </x:c>
      <x:c r="L10" s="13" t="str">
        <x:v>官方链接</x:v>
      </x:c>
    </x:row>
    <x:row r="11" ht="55" customHeight="1">
      <x:c r="A11" s="212" t="n">
        <x:v>1</x:v>
      </x:c>
      <x:c r="B11" s="212" t="str">
        <x:v>固定资源</x:v>
      </x:c>
      <x:c r="C11" s="213" t="str">
        <x:f>'固定资源'!B5</x:f>
        <x:v>ECS云服务器</x:v>
      </x:c>
      <x:c r="D11" s="213" t="str">
        <x:f>'固定资源'!C5</x:f>
        <x:v>ecs.u1-c1m2.large</x:v>
      </x:c>
      <x:c r="E11" s="213" t="str">
        <x:f>'固定资源'!D5</x:f>
        <x:v>通用算力型 u1；2 vCPU；4 GiB；Linux；2台</x:v>
      </x:c>
      <x:c r="F11" s="213" t="str">
        <x:f>'固定资源'!E5</x:f>
        <x:v>包年包月目录价（按月测算）</x:v>
      </x:c>
      <x:c r="G11" s="214" t="n">
        <x:f>'固定资源'!F5</x:f>
        <x:v>2</x:v>
      </x:c>
      <x:c r="H11" s="215" t="n">
        <x:f>'固定资源'!G5</x:f>
        <x:v>168.6</x:v>
      </x:c>
      <x:c r="I11" s="213" t="str">
        <x:f>'固定资源'!H5</x:f>
        <x:v>元/台·月</x:v>
      </x:c>
      <x:c r="J11" s="216" t="n">
        <x:f>'固定资源'!I5</x:f>
        <x:v>337.2</x:v>
      </x:c>
      <x:c r="K11" s="216" t="n">
        <x:f>'固定资源'!J5</x:f>
        <x:v>4046.3999999999996</x:v>
      </x:c>
      <x:c r="L11" s="217" t="str">
        <x:f>'固定资源'!K5</x:f>
        <x:v>https://ecs-buy.aliyun.com/price</x:v>
      </x:c>
    </x:row>
    <x:row r="12" ht="55" customHeight="1">
      <x:c r="A12" s="218" t="n">
        <x:v>2</x:v>
      </x:c>
      <x:c r="B12" s="218" t="str">
        <x:v>固定资源</x:v>
      </x:c>
      <x:c r="C12" s="219" t="str">
        <x:f>'固定资源'!B6</x:f>
        <x:v>ECS系统盘</x:v>
      </x:c>
      <x:c r="D12" s="219" t="str">
        <x:f>'固定资源'!C6</x:f>
        <x:v>ESSD Entry</x:v>
      </x:c>
      <x:c r="E12" s="219" t="str">
        <x:f>'固定资源'!D6</x:f>
        <x:v>每台100 GiB；2台合计200 GiB</x:v>
      </x:c>
      <x:c r="F12" s="219" t="str">
        <x:f>'固定资源'!E6</x:f>
        <x:v>包年包月目录价（按容量）</x:v>
      </x:c>
      <x:c r="G12" s="220" t="n">
        <x:f>'固定资源'!F6</x:f>
        <x:v>200</x:v>
      </x:c>
      <x:c r="H12" s="221" t="n">
        <x:f>'固定资源'!G6</x:f>
        <x:v>0.2</x:v>
      </x:c>
      <x:c r="I12" s="219" t="str">
        <x:f>'固定资源'!H6</x:f>
        <x:v>元/GiB·月</x:v>
      </x:c>
      <x:c r="J12" s="222" t="n">
        <x:f>'固定资源'!I6</x:f>
        <x:v>40</x:v>
      </x:c>
      <x:c r="K12" s="222" t="n">
        <x:f>'固定资源'!J6</x:f>
        <x:v>480</x:v>
      </x:c>
      <x:c r="L12" s="223" t="str">
        <x:f>'固定资源'!K6</x:f>
        <x:v>https://help.aliyun.com/zh/ecs/user-guide/elastic-block-storage-devices</x:v>
      </x:c>
    </x:row>
    <x:row r="13" ht="55" customHeight="1">
      <x:c r="A13" s="218" t="n">
        <x:v>3</x:v>
      </x:c>
      <x:c r="B13" s="218" t="str">
        <x:v>固定资源</x:v>
      </x:c>
      <x:c r="C13" s="219" t="str">
        <x:f>'固定资源'!B7</x:f>
        <x:v>应用型负载均衡ALB</x:v>
      </x:c>
      <x:c r="D13" s="219" t="str">
        <x:f>'固定资源'!C7</x:f>
        <x:v>基础版</x:v>
      </x:c>
      <x:c r="E13" s="219" t="str">
        <x:f>'固定资源'!D7</x:f>
        <x:v>公网ALB；基础版；1个实例；运行720小时/月</x:v>
      </x:c>
      <x:c r="F13" s="219" t="str">
        <x:f>'固定资源'!E7</x:f>
        <x:v>按量付费（实例费按小时）</x:v>
      </x:c>
      <x:c r="G13" s="220" t="n">
        <x:f>'固定资源'!F7</x:f>
        <x:v>7.2</x:v>
      </x:c>
      <x:c r="H13" s="221" t="n">
        <x:f>'固定资源'!G7</x:f>
        <x:v>4.9</x:v>
      </x:c>
      <x:c r="I13" s="219" t="str">
        <x:f>'固定资源'!H7</x:f>
        <x:v>元/百小时</x:v>
      </x:c>
      <x:c r="J13" s="222" t="n">
        <x:f>'固定资源'!I7</x:f>
        <x:v>35.28</x:v>
      </x:c>
      <x:c r="K13" s="222" t="n">
        <x:f>'固定资源'!J7</x:f>
        <x:v>423.36</x:v>
      </x:c>
      <x:c r="L13" s="223" t="str">
        <x:f>'固定资源'!K7</x:f>
        <x:v>https://help.aliyun.com/zh/slb/application-load-balancer/alb-billing-rules</x:v>
      </x:c>
    </x:row>
    <x:row r="14" ht="55" customHeight="1">
      <x:c r="A14" s="218" t="n">
        <x:v>4</x:v>
      </x:c>
      <x:c r="B14" s="218" t="str">
        <x:v>固定资源</x:v>
      </x:c>
      <x:c r="C14" s="219" t="str">
        <x:f>'固定资源'!B8</x:f>
        <x:v>ALB公网带宽</x:v>
      </x:c>
      <x:c r="D14" s="219" t="str">
        <x:f>'固定资源'!C8</x:f>
        <x:v>固定带宽</x:v>
      </x:c>
      <x:c r="E14" s="219" t="str">
        <x:f>'固定资源'!D8</x:f>
        <x:v>中国内地；5 Mbps；绑定公网ALB</x:v>
      </x:c>
      <x:c r="F14" s="219" t="str">
        <x:f>'固定资源'!E8</x:f>
        <x:v>固定带宽目录价（按月测算）</x:v>
      </x:c>
      <x:c r="G14" s="220" t="n">
        <x:f>'固定资源'!F8</x:f>
        <x:v>1</x:v>
      </x:c>
      <x:c r="H14" s="221" t="n">
        <x:f>'固定资源'!G8</x:f>
        <x:v>125</x:v>
      </x:c>
      <x:c r="I14" s="219" t="str">
        <x:f>'固定资源'!H8</x:f>
        <x:v>元/月</x:v>
      </x:c>
      <x:c r="J14" s="222" t="n">
        <x:f>'固定资源'!I8</x:f>
        <x:v>125</x:v>
      </x:c>
      <x:c r="K14" s="222" t="n">
        <x:f>'固定资源'!J8</x:f>
        <x:v>1500</x:v>
      </x:c>
      <x:c r="L14" s="223" t="str">
        <x:f>'固定资源'!K8</x:f>
        <x:v>https://help.aliyun.com/zh/ecs/user-guide/billing-for-public-bandwidth</x:v>
      </x:c>
    </x:row>
    <x:row r="15" ht="55" customHeight="1">
      <x:c r="A15" s="218" t="n">
        <x:v>5</x:v>
      </x:c>
      <x:c r="B15" s="218" t="str">
        <x:v>固定资源</x:v>
      </x:c>
      <x:c r="C15" s="219" t="str">
        <x:f>'固定资源'!B9</x:f>
        <x:v>RDS MySQL计算</x:v>
      </x:c>
      <x:c r="D15" s="219" t="str">
        <x:f>'固定资源'!C9</x:f>
        <x:v>mysql.n2e.medium.1（倚天版）</x:v>
      </x:c>
      <x:c r="E15" s="219" t="str">
        <x:f>'固定资源'!D9</x:f>
        <x:v>MySQL 8.0；基础系列；通用型；2核4GB；单节点</x:v>
      </x:c>
      <x:c r="F15" s="219" t="str">
        <x:f>'固定资源'!E9</x:f>
        <x:v>包年包月目录价（按月测算）</x:v>
      </x:c>
      <x:c r="G15" s="220" t="n">
        <x:f>'固定资源'!F9</x:f>
        <x:v>1</x:v>
      </x:c>
      <x:c r="H15" s="221" t="n">
        <x:f>'固定资源'!G9</x:f>
        <x:v>68</x:v>
      </x:c>
      <x:c r="I15" s="219" t="str">
        <x:f>'固定资源'!H9</x:f>
        <x:v>元/实例·月</x:v>
      </x:c>
      <x:c r="J15" s="222" t="n">
        <x:f>'固定资源'!I9</x:f>
        <x:v>68</x:v>
      </x:c>
      <x:c r="K15" s="222" t="n">
        <x:f>'固定资源'!J9</x:f>
        <x:v>816</x:v>
      </x:c>
      <x:c r="L15" s="223" t="str">
        <x:f>'固定资源'!K9</x:f>
        <x:v>https://www.aliyun.com/price/product#/rds/detail</x:v>
      </x:c>
    </x:row>
    <x:row r="16" ht="55" customHeight="1">
      <x:c r="A16" s="218" t="n">
        <x:v>6</x:v>
      </x:c>
      <x:c r="B16" s="218" t="str">
        <x:v>固定资源</x:v>
      </x:c>
      <x:c r="C16" s="219" t="str">
        <x:f>'固定资源'!B10</x:f>
        <x:v>RDS MySQL存储</x:v>
      </x:c>
      <x:c r="D16" s="219" t="str">
        <x:f>'固定资源'!C10</x:f>
        <x:v>ESSD PL0云盘</x:v>
      </x:c>
      <x:c r="E16" s="219" t="str">
        <x:f>'固定资源'!D10</x:f>
        <x:v>50 GiB；与上述RDS实例同地域</x:v>
      </x:c>
      <x:c r="F16" s="219" t="str">
        <x:f>'固定资源'!E10</x:f>
        <x:v>包年包月目录价（按容量）</x:v>
      </x:c>
      <x:c r="G16" s="220" t="n">
        <x:f>'固定资源'!F10</x:f>
        <x:v>50</x:v>
      </x:c>
      <x:c r="H16" s="221" t="n">
        <x:f>'固定资源'!G10</x:f>
        <x:v>0.4</x:v>
      </x:c>
      <x:c r="I16" s="219" t="str">
        <x:f>'固定资源'!H10</x:f>
        <x:v>元/GiB·月</x:v>
      </x:c>
      <x:c r="J16" s="222" t="n">
        <x:f>'固定资源'!I10</x:f>
        <x:v>20</x:v>
      </x:c>
      <x:c r="K16" s="222" t="n">
        <x:f>'固定资源'!J10</x:f>
        <x:v>240</x:v>
      </x:c>
      <x:c r="L16" s="223" t="str">
        <x:f>'固定资源'!K10</x:f>
        <x:v>https://www.aliyun.com/price/product#/rds/detail</x:v>
      </x:c>
    </x:row>
    <x:row r="17" ht="55" customHeight="1">
      <x:c r="A17" s="218" t="n">
        <x:v>7</x:v>
      </x:c>
      <x:c r="B17" s="218" t="str">
        <x:v>固定资源</x:v>
      </x:c>
      <x:c r="C17" s="219" t="str">
        <x:f>'固定资源'!B11</x:f>
        <x:v>Redis</x:v>
      </x:c>
      <x:c r="D17" s="219" t="str">
        <x:f>'固定资源'!C11</x:f>
        <x:v>ECS内自建 Redis</x:v>
      </x:c>
      <x:c r="E17" s="219" t="str">
        <x:f>'固定资源'!D11</x:f>
        <x:v>部署在ECS-1；两台应用节点通过内网共享访问</x:v>
      </x:c>
      <x:c r="F17" s="219" t="str">
        <x:f>'固定资源'!E11</x:f>
        <x:v>不单独购云资源</x:v>
      </x:c>
      <x:c r="G17" s="220" t="n">
        <x:f>'固定资源'!F11</x:f>
        <x:v>1</x:v>
      </x:c>
      <x:c r="H17" s="221" t="n">
        <x:f>'固定资源'!G11</x:f>
        <x:v>0</x:v>
      </x:c>
      <x:c r="I17" s="219" t="str">
        <x:f>'固定资源'!H11</x:f>
        <x:v>元/月</x:v>
      </x:c>
      <x:c r="J17" s="222" t="n">
        <x:f>'固定资源'!I11</x:f>
        <x:v>0</x:v>
      </x:c>
      <x:c r="K17" s="222" t="n">
        <x:f>'固定资源'!J11</x:f>
        <x:v>0</x:v>
      </x:c>
      <x:c r="L17" s="223" t="str">
        <x:f>'固定资源'!K11</x:f>
      </x:c>
    </x:row>
    <x:row r="18" ht="55" customHeight="1">
      <x:c r="A18" s="218" t="n">
        <x:v>8</x:v>
      </x:c>
      <x:c r="B18" s="218" t="str">
        <x:v>固定资源</x:v>
      </x:c>
      <x:c r="C18" s="219" t="str">
        <x:f>'固定资源'!B12</x:f>
        <x:v>域名</x:v>
      </x:c>
      <x:c r="D18" s="219" t="str">
        <x:f>'固定资源'!C12</x:f>
        <x:v>.com/.cn 预算项</x:v>
      </x:c>
      <x:c r="E18" s="219" t="str">
        <x:f>'固定资源'!D12</x:f>
        <x:v>1个域名；实际后缀待定</x:v>
      </x:c>
      <x:c r="F18" s="219" t="str">
        <x:f>'固定资源'!E12</x:f>
        <x:v>按年购买（月度摊销）</x:v>
      </x:c>
      <x:c r="G18" s="220" t="n">
        <x:f>'固定资源'!F12</x:f>
        <x:v>1</x:v>
      </x:c>
      <x:c r="H18" s="221" t="n">
        <x:f>'固定资源'!G12</x:f>
        <x:v>100</x:v>
      </x:c>
      <x:c r="I18" s="219" t="str">
        <x:f>'固定资源'!H12</x:f>
        <x:v>元/个·年</x:v>
      </x:c>
      <x:c r="J18" s="222" t="n">
        <x:f>'固定资源'!I12</x:f>
        <x:v>8.333333333333334</x:v>
      </x:c>
      <x:c r="K18" s="222" t="n">
        <x:f>'固定资源'!J12</x:f>
        <x:v>100</x:v>
      </x:c>
      <x:c r="L18" s="223" t="str">
        <x:f>'固定资源'!K12</x:f>
        <x:v>https://wanwang.aliyun.com/domain/price</x:v>
      </x:c>
    </x:row>
    <x:row r="19" ht="55" customHeight="1">
      <x:c r="A19" s="218" t="n">
        <x:v>9</x:v>
      </x:c>
      <x:c r="B19" s="218" t="str">
        <x:v>固定资源</x:v>
      </x:c>
      <x:c r="C19" s="219" t="str">
        <x:f>'固定资源'!B13</x:f>
        <x:v>SSL证书</x:v>
      </x:c>
      <x:c r="D19" s="219" t="str">
        <x:f>'固定资源'!C13</x:f>
        <x:v>免费DV证书</x:v>
      </x:c>
      <x:c r="E19" s="219" t="str">
        <x:f>'固定资源'!D13</x:f>
        <x:v>HTTPS基础证书</x:v>
      </x:c>
      <x:c r="F19" s="219" t="str">
        <x:f>'固定资源'!E13</x:f>
        <x:v>免费</x:v>
      </x:c>
      <x:c r="G19" s="220" t="n">
        <x:f>'固定资源'!F13</x:f>
        <x:v>1</x:v>
      </x:c>
      <x:c r="H19" s="221" t="n">
        <x:f>'固定资源'!G13</x:f>
        <x:v>0</x:v>
      </x:c>
      <x:c r="I19" s="219" t="str">
        <x:f>'固定资源'!H13</x:f>
        <x:v>元/年</x:v>
      </x:c>
      <x:c r="J19" s="222" t="n">
        <x:f>'固定资源'!I13</x:f>
        <x:v>0</x:v>
      </x:c>
      <x:c r="K19" s="222" t="n">
        <x:f>'固定资源'!J13</x:f>
        <x:v>0</x:v>
      </x:c>
      <x:c r="L19" s="223" t="str">
        <x:f>'固定资源'!K13</x:f>
        <x:v>https://www.aliyun.com/product/cas</x:v>
      </x:c>
    </x:row>
    <x:row r="20" ht="55" customHeight="1">
      <x:c r="A20" s="218" t="n">
        <x:v>10</x:v>
      </x:c>
      <x:c r="B20" s="218" t="str">
        <x:v>固定资源</x:v>
      </x:c>
      <x:c r="C20" s="219" t="str">
        <x:f>'固定资源'!B14</x:f>
        <x:v>云监控</x:v>
      </x:c>
      <x:c r="D20" s="219" t="str">
        <x:f>'固定资源'!C14</x:f>
        <x:v>基础云监控</x:v>
      </x:c>
      <x:c r="E20" s="219" t="str">
        <x:f>'固定资源'!D14</x:f>
        <x:v>ECS/RDS/ALB基础指标与告警</x:v>
      </x:c>
      <x:c r="F20" s="219" t="str">
        <x:f>'固定资源'!E14</x:f>
        <x:v>免费基础版</x:v>
      </x:c>
      <x:c r="G20" s="220" t="n">
        <x:f>'固定资源'!F14</x:f>
        <x:v>1</x:v>
      </x:c>
      <x:c r="H20" s="221" t="n">
        <x:f>'固定资源'!G14</x:f>
        <x:v>0</x:v>
      </x:c>
      <x:c r="I20" s="219" t="str">
        <x:f>'固定资源'!H14</x:f>
        <x:v>元/月</x:v>
      </x:c>
      <x:c r="J20" s="222" t="n">
        <x:f>'固定资源'!I14</x:f>
        <x:v>0</x:v>
      </x:c>
      <x:c r="K20" s="222" t="n">
        <x:f>'固定资源'!J14</x:f>
        <x:v>0</x:v>
      </x:c>
      <x:c r="L20" s="223" t="str">
        <x:f>'固定资源'!K14</x:f>
        <x:v>https://www.aliyun.com/product/jiankong</x:v>
      </x:c>
    </x:row>
    <x:row r="21" ht="55" customHeight="1">
      <x:c r="A21" s="224" t="n">
        <x:v>11</x:v>
      </x:c>
      <x:c r="B21" s="224" t="str">
        <x:v>按量资源</x:v>
      </x:c>
      <x:c r="C21" s="219" t="str">
        <x:f>'按量计费'!B5</x:f>
        <x:v>应用型负载均衡ALB</x:v>
      </x:c>
      <x:c r="D21" s="219" t="str">
        <x:f>'按量计费'!C5</x:f>
        <x:v>性能容量单位LCU</x:v>
      </x:c>
      <x:c r="E21" s="219" t="str">
        <x:f>'按量计费'!M5</x:f>
        <x:v>未折扣原价4.90元/百LCU·小时；按冷启动平均0.10 LCU换算</x:v>
      </x:c>
      <x:c r="F21" s="219" t="str">
        <x:f>'按量计费'!D5</x:f>
        <x:v>按量计费（按实际LCU用量）</x:v>
      </x:c>
      <x:c r="G21" s="220" t="n">
        <x:f>'按量计费'!E5</x:f>
        <x:v>0.72</x:v>
      </x:c>
      <x:c r="H21" s="221" t="n">
        <x:f>'按量计费'!G5</x:f>
        <x:v>4.9</x:v>
      </x:c>
      <x:c r="I21" s="219" t="str">
        <x:f>'按量计费'!H5</x:f>
        <x:v>元/百LCU·小时</x:v>
      </x:c>
      <x:c r="J21" s="222" t="n">
        <x:f>'按量计费'!I5</x:f>
        <x:v>3.528</x:v>
      </x:c>
      <x:c r="K21" s="222" t="n">
        <x:f>'按量计费'!J5</x:f>
        <x:v>42.336</x:v>
      </x:c>
      <x:c r="L21" s="223" t="str">
        <x:f>'按量计费'!L5</x:f>
        <x:v>https://help.aliyun.com/zh/slb/application-load-balancer/alb-billing-rules</x:v>
      </x:c>
    </x:row>
    <x:row r="22" ht="55" customHeight="1">
      <x:c r="A22" s="224" t="n">
        <x:v>12</x:v>
      </x:c>
      <x:c r="B22" s="224" t="str">
        <x:v>按量资源</x:v>
      </x:c>
      <x:c r="C22" s="219" t="str">
        <x:f>'按量计费'!B6</x:f>
        <x:v>OSS</x:v>
      </x:c>
      <x:c r="D22" s="219" t="str">
        <x:f>'按量计费'!C6</x:f>
        <x:v>标准存储（本地冗余）</x:v>
      </x:c>
      <x:c r="E22" s="219" t="str">
        <x:f>'按量计费'!M6</x:f>
        <x:v>头像、聊天图片、报告和商品图片；初期平均占用100GB</x:v>
      </x:c>
      <x:c r="F22" s="219" t="str">
        <x:f>'按量计费'!D6</x:f>
        <x:v>按量计费（按实际GB·月）</x:v>
      </x:c>
      <x:c r="G22" s="220" t="n">
        <x:f>'按量计费'!E6</x:f>
        <x:v>100</x:v>
      </x:c>
      <x:c r="H22" s="221" t="n">
        <x:f>'按量计费'!G6</x:f>
        <x:v>0.12</x:v>
      </x:c>
      <x:c r="I22" s="219" t="str">
        <x:f>'按量计费'!H6</x:f>
        <x:v>元/GB·月</x:v>
      </x:c>
      <x:c r="J22" s="222" t="n">
        <x:f>'按量计费'!I6</x:f>
        <x:v>12</x:v>
      </x:c>
      <x:c r="K22" s="222" t="n">
        <x:f>'按量计费'!J6</x:f>
        <x:v>144</x:v>
      </x:c>
      <x:c r="L22" s="223" t="str">
        <x:f>'按量计费'!L6</x:f>
        <x:v>https://help.aliyun.com/zh/oss/storage-fees</x:v>
      </x:c>
    </x:row>
    <x:row r="23" ht="55" customHeight="1">
      <x:c r="A23" s="224" t="n">
        <x:v>13</x:v>
      </x:c>
      <x:c r="B23" s="224" t="str">
        <x:v>按量资源</x:v>
      </x:c>
      <x:c r="C23" s="219" t="str">
        <x:f>'按量计费'!B7</x:f>
        <x:v>CDN</x:v>
      </x:c>
      <x:c r="D23" s="219" t="str">
        <x:f>'按量计费'!C7</x:f>
        <x:v>中国内地下行流量 0-10TB档</x:v>
      </x:c>
      <x:c r="E23" s="219" t="str">
        <x:f>'按量计费'!M7</x:f>
        <x:v>前期每月200GB；流量超过阶梯后单价变化</x:v>
      </x:c>
      <x:c r="F23" s="219" t="str">
        <x:f>'按量计费'!D7</x:f>
        <x:v>按量计费（按实际下行GB）</x:v>
      </x:c>
      <x:c r="G23" s="220" t="n">
        <x:f>'按量计费'!E7</x:f>
        <x:v>200</x:v>
      </x:c>
      <x:c r="H23" s="221" t="n">
        <x:f>'按量计费'!G7</x:f>
        <x:v>0.24</x:v>
      </x:c>
      <x:c r="I23" s="219" t="str">
        <x:f>'按量计费'!H7</x:f>
        <x:v>元/GB</x:v>
      </x:c>
      <x:c r="J23" s="222" t="n">
        <x:f>'按量计费'!I7</x:f>
        <x:v>48</x:v>
      </x:c>
      <x:c r="K23" s="222" t="n">
        <x:f>'按量计费'!J7</x:f>
        <x:v>576</x:v>
      </x:c>
      <x:c r="L23" s="223" t="str">
        <x:f>'按量计费'!L7</x:f>
        <x:v>https://help.aliyun.com/zh/cdn/product-overview/billing-rules-of-basic-services</x:v>
      </x:c>
    </x:row>
    <x:row r="24" ht="55" customHeight="1">
      <x:c r="A24" s="224" t="n">
        <x:v>14</x:v>
      </x:c>
      <x:c r="B24" s="224" t="str">
        <x:v>按量资源</x:v>
      </x:c>
      <x:c r="C24" s="219" t="str">
        <x:f>'按量计费'!B8</x:f>
        <x:v>OSS</x:v>
      </x:c>
      <x:c r="D24" s="219" t="str">
        <x:f>'按量计费'!C8</x:f>
        <x:v>CDN回源流出流量</x:v>
      </x:c>
      <x:c r="E24" s="219" t="str">
        <x:f>'按量计费'!M8</x:f>
        <x:v>假设CDN回源40GB/月；命中率越高则越低</x:v>
      </x:c>
      <x:c r="F24" s="219" t="str">
        <x:f>'按量计费'!D8</x:f>
        <x:v>按量计费（按实际回源GB）</x:v>
      </x:c>
      <x:c r="G24" s="220" t="n">
        <x:f>'按量计费'!E8</x:f>
        <x:v>40</x:v>
      </x:c>
      <x:c r="H24" s="221" t="n">
        <x:f>'按量计费'!G8</x:f>
        <x:v>0.15</x:v>
      </x:c>
      <x:c r="I24" s="219" t="str">
        <x:f>'按量计费'!H8</x:f>
        <x:v>元/GB</x:v>
      </x:c>
      <x:c r="J24" s="222" t="n">
        <x:f>'按量计费'!I8</x:f>
        <x:v>6</x:v>
      </x:c>
      <x:c r="K24" s="222" t="n">
        <x:f>'按量计费'!J8</x:f>
        <x:v>72</x:v>
      </x:c>
      <x:c r="L24" s="223" t="str">
        <x:f>'按量计费'!L8</x:f>
        <x:v>https://help.aliyun.com/zh/oss/billing-examples</x:v>
      </x:c>
    </x:row>
    <x:row r="25" ht="55" customHeight="1">
      <x:c r="A25" s="224" t="n">
        <x:v>15</x:v>
      </x:c>
      <x:c r="B25" s="224" t="str">
        <x:v>按量资源</x:v>
      </x:c>
      <x:c r="C25" s="219" t="str">
        <x:f>'按量计费'!B9</x:f>
        <x:v>OSS</x:v>
      </x:c>
      <x:c r="D25" s="219" t="str">
        <x:f>'按量计费'!C9</x:f>
        <x:v>GET类请求</x:v>
      </x:c>
      <x:c r="E25" s="219" t="str">
        <x:f>'按量计费'!M9</x:f>
        <x:v>假设100万次GET/月</x:v>
      </x:c>
      <x:c r="F25" s="219" t="str">
        <x:f>'按量计费'!D9</x:f>
        <x:v>按量计费（按实际请求次数）</x:v>
      </x:c>
      <x:c r="G25" s="220" t="n">
        <x:f>'按量计费'!E9</x:f>
        <x:v>100</x:v>
      </x:c>
      <x:c r="H25" s="221" t="n">
        <x:f>'按量计费'!G9</x:f>
        <x:v>0.01</x:v>
      </x:c>
      <x:c r="I25" s="219" t="str">
        <x:f>'按量计费'!H9</x:f>
        <x:v>元/万次</x:v>
      </x:c>
      <x:c r="J25" s="222" t="n">
        <x:f>'按量计费'!I9</x:f>
        <x:v>1</x:v>
      </x:c>
      <x:c r="K25" s="222" t="n">
        <x:f>'按量计费'!J9</x:f>
        <x:v>12</x:v>
      </x:c>
      <x:c r="L25" s="223" t="str">
        <x:f>'按量计费'!L9</x:f>
        <x:v>https://help.aliyun.com/zh/oss/billing-examples</x:v>
      </x:c>
    </x:row>
    <x:row r="26" ht="55" customHeight="1">
      <x:c r="A26" s="224" t="n">
        <x:v>16</x:v>
      </x:c>
      <x:c r="B26" s="224" t="str">
        <x:v>按量资源</x:v>
      </x:c>
      <x:c r="C26" s="219" t="str">
        <x:f>'按量计费'!B10</x:f>
        <x:v>短信服务</x:v>
      </x:c>
      <x:c r="D26" s="219" t="str">
        <x:f>'按量计费'!C10</x:f>
        <x:v>验证码/通知短信 ≤10万条/月</x:v>
      </x:c>
      <x:c r="E26" s="219" t="str">
        <x:f>'按量计费'!M10</x:f>
        <x:v>未折扣原价4.50元/百条；长短信可能拆分计费</x:v>
      </x:c>
      <x:c r="F26" s="219" t="str">
        <x:f>'按量计费'!D10</x:f>
        <x:v>按量计费（按实际成功发送条数）</x:v>
      </x:c>
      <x:c r="G26" s="220" t="n">
        <x:f>'按量计费'!E10</x:f>
        <x:v>20</x:v>
      </x:c>
      <x:c r="H26" s="221" t="n">
        <x:f>'按量计费'!G10</x:f>
        <x:v>4.5</x:v>
      </x:c>
      <x:c r="I26" s="219" t="str">
        <x:f>'按量计费'!H10</x:f>
        <x:v>元/百条</x:v>
      </x:c>
      <x:c r="J26" s="222" t="n">
        <x:f>'按量计费'!I10</x:f>
        <x:v>90</x:v>
      </x:c>
      <x:c r="K26" s="222" t="n">
        <x:f>'按量计费'!J10</x:f>
        <x:v>1080</x:v>
      </x:c>
      <x:c r="L26" s="223" t="str">
        <x:f>'按量计费'!L10</x:f>
        <x:v>https://help.aliyun.com/zh/sms/product-overview/billing-of-messages-sent-to-chinese-mainland</x:v>
      </x:c>
    </x:row>
    <x:row r="27" ht="55" customHeight="1">
      <x:c r="A27" s="224" t="n">
        <x:v>17</x:v>
      </x:c>
      <x:c r="B27" s="224" t="str">
        <x:v>按量资源</x:v>
      </x:c>
      <x:c r="C27" s="219" t="str">
        <x:f>'按量计费'!B11</x:f>
        <x:v>阿里云百炼</x:v>
      </x:c>
      <x:c r="D27" s="219" t="str">
        <x:f>'按量计费'!C11</x:f>
        <x:v>qwen3.7-plus 输入Token（≤256K档）</x:v>
      </x:c>
      <x:c r="E27" s="219" t="str">
        <x:f>'按量计费'!M11</x:f>
        <x:v>按原价，不计页面限时折扣；约1万次×2,500输入Token</x:v>
      </x:c>
      <x:c r="F27" s="219" t="str">
        <x:f>'按量计费'!D11</x:f>
        <x:v>按量计费（按实际输入Token）</x:v>
      </x:c>
      <x:c r="G27" s="220" t="n">
        <x:f>'按量计费'!E11</x:f>
        <x:v>25</x:v>
      </x:c>
      <x:c r="H27" s="221" t="n">
        <x:f>'按量计费'!G11</x:f>
        <x:v>2</x:v>
      </x:c>
      <x:c r="I27" s="219" t="str">
        <x:f>'按量计费'!H11</x:f>
        <x:v>元/百万Token</x:v>
      </x:c>
      <x:c r="J27" s="222" t="n">
        <x:f>'按量计费'!I11</x:f>
        <x:v>50</x:v>
      </x:c>
      <x:c r="K27" s="222" t="n">
        <x:f>'按量计费'!J11</x:f>
        <x:v>600</x:v>
      </x:c>
      <x:c r="L27" s="223" t="str">
        <x:f>'按量计费'!L11</x:f>
        <x:v>https://help.aliyun.com/zh/model-studio/model-pricing</x:v>
      </x:c>
    </x:row>
    <x:row r="28" ht="55" customHeight="1">
      <x:c r="A28" s="224" t="n">
        <x:v>18</x:v>
      </x:c>
      <x:c r="B28" s="224" t="str">
        <x:v>按量资源</x:v>
      </x:c>
      <x:c r="C28" s="219" t="str">
        <x:f>'按量计费'!B12</x:f>
        <x:v>阿里云百炼</x:v>
      </x:c>
      <x:c r="D28" s="219" t="str">
        <x:f>'按量计费'!C12</x:f>
        <x:v>qwen3.7-plus 输出Token（≤256K档）</x:v>
      </x:c>
      <x:c r="E28" s="219" t="str">
        <x:f>'按量计费'!M12</x:f>
        <x:v>按原价，不计页面限时折扣；约1万次×1,000输出Token</x:v>
      </x:c>
      <x:c r="F28" s="219" t="str">
        <x:f>'按量计费'!D12</x:f>
        <x:v>按量计费（按实际输出Token）</x:v>
      </x:c>
      <x:c r="G28" s="220" t="n">
        <x:f>'按量计费'!E12</x:f>
        <x:v>10</x:v>
      </x:c>
      <x:c r="H28" s="221" t="n">
        <x:f>'按量计费'!G12</x:f>
        <x:v>8</x:v>
      </x:c>
      <x:c r="I28" s="219" t="str">
        <x:f>'按量计费'!H12</x:f>
        <x:v>元/百万Token</x:v>
      </x:c>
      <x:c r="J28" s="222" t="n">
        <x:f>'按量计费'!I12</x:f>
        <x:v>80</x:v>
      </x:c>
      <x:c r="K28" s="222" t="n">
        <x:f>'按量计费'!J12</x:f>
        <x:v>960</x:v>
      </x:c>
      <x:c r="L28" s="223" t="str">
        <x:f>'按量计费'!L12</x:f>
        <x:v>https://help.aliyun.com/zh/model-studio/model-pricing</x:v>
      </x:c>
    </x:row>
    <x:row r="29" ht="55" customHeight="1">
      <x:c r="A29" s="224" t="n">
        <x:v>19</x:v>
      </x:c>
      <x:c r="B29" s="224" t="str">
        <x:v>按量资源</x:v>
      </x:c>
      <x:c r="C29" s="219" t="str">
        <x:f>'按量计费'!B13</x:f>
        <x:v>SLS日志服务</x:v>
      </x:c>
      <x:c r="D29" s="219" t="str">
        <x:f>'按量计费'!C13</x:f>
        <x:v>原始写入数据量</x:v>
      </x:c>
      <x:c r="E29" s="219" t="str">
        <x:f>'按量计费'!M13</x:f>
        <x:v>API、错误、审计日志合计5GB/月</x:v>
      </x:c>
      <x:c r="F29" s="219" t="str">
        <x:f>'按量计费'!D13</x:f>
        <x:v>按量计费（按实际写入GB）</x:v>
      </x:c>
      <x:c r="G29" s="220" t="n">
        <x:f>'按量计费'!E13</x:f>
        <x:v>5</x:v>
      </x:c>
      <x:c r="H29" s="221" t="n">
        <x:f>'按量计费'!G13</x:f>
        <x:v>0.4</x:v>
      </x:c>
      <x:c r="I29" s="219" t="str">
        <x:f>'按量计费'!H13</x:f>
        <x:v>元/GB</x:v>
      </x:c>
      <x:c r="J29" s="222" t="n">
        <x:f>'按量计费'!I13</x:f>
        <x:v>2</x:v>
      </x:c>
      <x:c r="K29" s="222" t="n">
        <x:f>'按量计费'!J13</x:f>
        <x:v>24</x:v>
      </x:c>
      <x:c r="L29" s="223" t="str">
        <x:f>'按量计费'!L13</x:f>
        <x:v>https://help.aliyun.com/zh/sls/overview-11</x:v>
      </x:c>
    </x:row>
    <x:row r="30" ht="55" customHeight="1">
      <x:c r="A30" s="224" t="n">
        <x:v>20</x:v>
      </x:c>
      <x:c r="B30" s="224" t="str">
        <x:v>按量资源</x:v>
      </x:c>
      <x:c r="C30" s="219" t="str">
        <x:f>'按量计费'!B14</x:f>
        <x:v>SLS日志服务</x:v>
      </x:c>
      <x:c r="D30" s="219" t="str">
        <x:f>'按量计费'!C14</x:f>
        <x:v>日志索引流量</x:v>
      </x:c>
      <x:c r="E30" s="219" t="str">
        <x:f>'按量计费'!M14</x:f>
        <x:v>假设全部日志建立索引</x:v>
      </x:c>
      <x:c r="F30" s="219" t="str">
        <x:f>'按量计费'!D14</x:f>
        <x:v>按量计费（按实际索引GB）</x:v>
      </x:c>
      <x:c r="G30" s="220" t="n">
        <x:f>'按量计费'!E14</x:f>
        <x:v>5</x:v>
      </x:c>
      <x:c r="H30" s="221" t="n">
        <x:f>'按量计费'!G14</x:f>
        <x:v>0.35</x:v>
      </x:c>
      <x:c r="I30" s="219" t="str">
        <x:f>'按量计费'!H14</x:f>
        <x:v>元/GB</x:v>
      </x:c>
      <x:c r="J30" s="222" t="n">
        <x:f>'按量计费'!I14</x:f>
        <x:v>1.75</x:v>
      </x:c>
      <x:c r="K30" s="222" t="n">
        <x:f>'按量计费'!J14</x:f>
        <x:v>21</x:v>
      </x:c>
      <x:c r="L30" s="223" t="str">
        <x:f>'按量计费'!L14</x:f>
        <x:v>https://help.aliyun.com/zh/sls/overview-11</x:v>
      </x:c>
    </x:row>
    <x:row r="31" ht="55" customHeight="1">
      <x:c r="A31" s="224" t="n">
        <x:v>21</x:v>
      </x:c>
      <x:c r="B31" s="224" t="str">
        <x:v>按量资源</x:v>
      </x:c>
      <x:c r="C31" s="219" t="str">
        <x:f>'按量计费'!B15</x:f>
        <x:v>SLS日志服务</x:v>
      </x:c>
      <x:c r="D31" s="219" t="str">
        <x:f>'按量计费'!C15</x:f>
        <x:v>日志热存储</x:v>
      </x:c>
      <x:c r="E31" s="219" t="str">
        <x:f>'按量计费'!M15</x:f>
        <x:v>未折扣原价1.15元/百GB·天；平均5GB保留30天</x:v>
      </x:c>
      <x:c r="F31" s="219" t="str">
        <x:f>'按量计费'!D15</x:f>
        <x:v>按量计费（按实际GB·天）</x:v>
      </x:c>
      <x:c r="G31" s="220" t="n">
        <x:f>'按量计费'!E15</x:f>
        <x:v>1.5</x:v>
      </x:c>
      <x:c r="H31" s="221" t="n">
        <x:f>'按量计费'!G15</x:f>
        <x:v>1.15</x:v>
      </x:c>
      <x:c r="I31" s="219" t="str">
        <x:f>'按量计费'!H15</x:f>
        <x:v>元/百GB·天</x:v>
      </x:c>
      <x:c r="J31" s="222" t="n">
        <x:f>'按量计费'!I15</x:f>
        <x:v>1.7249999999999999</x:v>
      </x:c>
      <x:c r="K31" s="222" t="n">
        <x:f>'按量计费'!J15</x:f>
        <x:v>20.7</x:v>
      </x:c>
      <x:c r="L31" s="223" t="str">
        <x:f>'按量计费'!L15</x:f>
        <x:v>https://help.aliyun.com/zh/sls/overview-11</x:v>
      </x:c>
    </x:row>
    <x:row r="32" ht="55" customHeight="1">
      <x:c r="A32" s="224" t="n">
        <x:v>22</x:v>
      </x:c>
      <x:c r="B32" s="224" t="str">
        <x:v>按量资源</x:v>
      </x:c>
      <x:c r="C32" s="219" t="str">
        <x:f>'按量计费'!B16</x:f>
        <x:v>ECS快照</x:v>
      </x:c>
      <x:c r="D32" s="219" t="str">
        <x:f>'按量计费'!C16</x:f>
        <x:v>标准快照（杭州）</x:v>
      </x:c>
      <x:c r="E32" s="219" t="str">
        <x:f>'按量计费'!M16</x:f>
        <x:v>两台ECS按实际增量占用计费；此处合计预算100GB</x:v>
      </x:c>
      <x:c r="F32" s="219" t="str">
        <x:f>'按量计费'!D16</x:f>
        <x:v>按量计费（按实际快照GB·月）</x:v>
      </x:c>
      <x:c r="G32" s="220" t="n">
        <x:f>'按量计费'!E16</x:f>
        <x:v>100</x:v>
      </x:c>
      <x:c r="H32" s="221" t="n">
        <x:f>'按量计费'!G16</x:f>
        <x:v>0.12</x:v>
      </x:c>
      <x:c r="I32" s="219" t="str">
        <x:f>'按量计费'!H16</x:f>
        <x:v>元/GB·月</x:v>
      </x:c>
      <x:c r="J32" s="222" t="n">
        <x:f>'按量计费'!I16</x:f>
        <x:v>12</x:v>
      </x:c>
      <x:c r="K32" s="222" t="n">
        <x:f>'按量计费'!J16</x:f>
        <x:v>144</x:v>
      </x:c>
      <x:c r="L32" s="223" t="str">
        <x:f>'按量计费'!L16</x:f>
        <x:v>https://help.aliyun.com/zh/ecs/snapshots-1</x:v>
      </x:c>
    </x:row>
    <x:row r="33" ht="30" customHeight="1">
      <x:c r="A33" s="225" t="str">
        <x:v>原价测算合计</x:v>
      </x:c>
      <x:c r="B33" s="226"/>
      <x:c r="C33" s="226"/>
      <x:c r="D33" s="226"/>
      <x:c r="E33" s="226"/>
      <x:c r="F33" s="226"/>
      <x:c r="G33" s="226"/>
      <x:c r="H33" s="226"/>
      <x:c r="I33" s="226"/>
      <x:c r="J33" s="227" t="n">
        <x:f>ROUND(SUM(J11:J32),2)</x:f>
        <x:v>941.82</x:v>
      </x:c>
      <x:c r="K33" s="227" t="n">
        <x:f>ROUND(SUM(K11:K32),2)</x:f>
        <x:v>11301.8</x:v>
      </x:c>
      <x:c r="L33" s="228" t="str">
        <x:v>不含任何折扣或预算预留</x:v>
      </x:c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</x:row>
    <x:row r="35" ht="25" customHeight="1">
      <x:c r="A35" s="211" t="str">
        <x:v>计价口径</x:v>
      </x:c>
      <x:c r="B35" s="211"/>
      <x:c r="C35" s="211"/>
      <x:c r="D35" s="211"/>
      <x:c r="E35" s="211"/>
      <x:c r="F35" s="211"/>
      <x:c r="G35" s="198"/>
      <x:c r="H35" s="211" t="str">
        <x:v>本报价不包含</x:v>
      </x:c>
      <x:c r="I35" s="211"/>
      <x:c r="J35" s="211"/>
      <x:c r="K35" s="211"/>
      <x:c r="L35" s="211"/>
    </x:row>
    <x:row r="36" ht="30" customHeight="1">
      <x:c r="A36" s="229" t="str">
        <x:v>1</x:v>
      </x:c>
      <x:c r="B36" s="229" t="str">
        <x:v>两台ECS均为2核4G；ALB基础版作为公网统一入口</x:v>
      </x:c>
      <x:c r="C36" s="229"/>
      <x:c r="D36" s="229"/>
      <x:c r="E36" s="229"/>
      <x:c r="F36" s="229"/>
      <x:c r="G36" s="198"/>
      <x:c r="H36" s="230" t="str">
        <x:v>×</x:v>
      </x:c>
      <x:c r="I36" s="231" t="str">
        <x:v>AI语音、语音识别和语音合成</x:v>
      </x:c>
      <x:c r="J36" s="231"/>
      <x:c r="K36" s="231"/>
      <x:c r="L36" s="231"/>
    </x:row>
    <x:row r="37" ht="30" customHeight="1">
      <x:c r="A37" s="232" t="str">
        <x:v>2</x:v>
      </x:c>
      <x:c r="B37" s="232" t="str">
        <x:v>ALB实例费按720小时计；LCU、OSS、CDN、短信、AI、SLS和快照按量计算</x:v>
      </x:c>
      <x:c r="C37" s="232"/>
      <x:c r="D37" s="232"/>
      <x:c r="E37" s="232"/>
      <x:c r="F37" s="232"/>
      <x:c r="G37" s="198"/>
      <x:c r="H37" s="233" t="str">
        <x:v>×</x:v>
      </x:c>
      <x:c r="I37" s="234" t="str">
        <x:v>真人语音、视频、语音房、RTC及录制</x:v>
      </x:c>
      <x:c r="J37" s="234"/>
      <x:c r="K37" s="234"/>
      <x:c r="L37" s="234"/>
    </x:row>
    <x:row r="38" ht="30" customHeight="1">
      <x:c r="A38" s="232" t="str">
        <x:v>3</x:v>
      </x:c>
      <x:c r="B38" s="232" t="str">
        <x:v>黄色“按量资源”行的月金额会随实际用量变化</x:v>
      </x:c>
      <x:c r="C38" s="232"/>
      <x:c r="D38" s="232"/>
      <x:c r="E38" s="232"/>
      <x:c r="F38" s="232"/>
      <x:c r="G38" s="198"/>
      <x:c r="H38" s="233" t="str">
        <x:v>×</x:v>
      </x:c>
      <x:c r="I38" s="234" t="str">
        <x:v>内容审核、直播审核、第三方IM和客服</x:v>
      </x:c>
      <x:c r="J38" s="234"/>
      <x:c r="K38" s="234"/>
      <x:c r="L38" s="234"/>
    </x:row>
    <x:row r="39" ht="30" customHeight="1">
      <x:c r="A39" s="232" t="str">
        <x:v>4</x:v>
      </x:c>
      <x:c r="B39" s="232" t="str">
        <x:v>所有数字和金额在表格中均显示至小数点后两位</x:v>
      </x:c>
      <x:c r="C39" s="232"/>
      <x:c r="D39" s="232"/>
      <x:c r="E39" s="232"/>
      <x:c r="F39" s="232"/>
      <x:c r="G39" s="198"/>
      <x:c r="H39" s="233" t="str">
        <x:v>×</x:v>
      </x:c>
      <x:c r="I39" s="234" t="str">
        <x:v>独立云Redis、高可用RDS、WAF及ALB资源预留</x:v>
      </x:c>
      <x:c r="J39" s="234"/>
      <x:c r="K39" s="234"/>
      <x:c r="L39" s="234"/>
    </x:row>
    <x:row r="40" ht="30" customHeight="1">
      <x:c r="A40" s="235" t="str">
        <x:v>5</x:v>
      </x:c>
      <x:c r="B40" s="235" t="str">
        <x:v>月度合计为 ¥941.82；年度逐项合计为 ¥11,301.80</x:v>
      </x:c>
      <x:c r="C40" s="235"/>
      <x:c r="D40" s="235"/>
      <x:c r="E40" s="235"/>
      <x:c r="F40" s="235"/>
      <x:c r="G40" s="198"/>
      <x:c r="H40" s="236" t="str">
        <x:v>×</x:v>
      </x:c>
      <x:c r="I40" s="237" t="str">
        <x:v>人工、支付手续费、商店/IAP及实名认证接口</x:v>
      </x:c>
      <x:c r="J40" s="237"/>
      <x:c r="K40" s="237"/>
      <x:c r="L40" s="237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</x:row>
    <x:row r="42" ht="28" customHeight="1">
      <x:c r="A42" s="238" t="str">
        <x:v>风险提示：两台ECS经ALB分流，应用层具备基础冗余；但基础系列RDS与ECS内自建Redis仍为单点。ALB的LCU费按实际流量计费，本表仅按冷启动平均0.10 LCU估算。正式购买前应在官方价格页按地域和可用区重新核价。</x:v>
      </x:c>
      <x:c r="B42" s="239"/>
      <x:c r="C42" s="239"/>
      <x:c r="D42" s="239"/>
      <x:c r="E42" s="239"/>
      <x:c r="F42" s="239"/>
      <x:c r="G42" s="239"/>
      <x:c r="H42" s="239"/>
      <x:c r="I42" s="239"/>
      <x:c r="J42" s="239"/>
      <x:c r="K42" s="239"/>
      <x:c r="L42" s="240"/>
    </x:row>
    <x:row r="43" ht="28" customHeight="1">
      <x:c r="A43" s="241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3"/>
    </x:row>
  </x:sheetData>
  <x:mergeCells>
    <x:mergeCell ref="A1:L1"/>
    <x:mergeCell ref="A2:L2"/>
    <x:mergeCell ref="A5:C5"/>
    <x:mergeCell ref="A6:C7"/>
    <x:mergeCell ref="D5:F5"/>
    <x:mergeCell ref="D6:F7"/>
    <x:mergeCell ref="G5:I5"/>
    <x:mergeCell ref="G6:I7"/>
    <x:mergeCell ref="J5:L5"/>
    <x:mergeCell ref="J6:L7"/>
    <x:mergeCell ref="A9:L9"/>
    <x:mergeCell ref="A33:I33"/>
    <x:mergeCell ref="A35:F35"/>
    <x:mergeCell ref="B36:F36"/>
    <x:mergeCell ref="B37:F37"/>
    <x:mergeCell ref="B38:F38"/>
    <x:mergeCell ref="B39:F39"/>
    <x:mergeCell ref="B40:F40"/>
    <x:mergeCell ref="H35:L35"/>
    <x:mergeCell ref="I36:L36"/>
    <x:mergeCell ref="I37:L37"/>
    <x:mergeCell ref="I38:L38"/>
    <x:mergeCell ref="I39:L39"/>
    <x:mergeCell ref="I40:L40"/>
    <x:mergeCell ref="A42:L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25" hidden="0" customWidth="1"/>
    <x:col min="4" max="4" width="36" hidden="0" customWidth="1"/>
    <x:col min="5" max="5" width="24" hidden="0" customWidth="1"/>
    <x:col min="6" max="6" width="11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43" hidden="0" customWidth="1"/>
    <x:col min="12" max="12" width="32" hidden="0" customWidth="1"/>
  </x:cols>
  <x:sheetData>
    <x:row r="1" ht="34" customHeight="1">
      <x:c r="A1" s="195" t="str">
        <x:v>阿里云固定配置报价明细（未折扣原价）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</x:row>
    <x:row r="2" ht="42" customHeight="1">
      <x:c r="A2" s="7" t="str">
        <x:v>口径：华东1（杭州）/ 中国内地，1个月按30天。所有金额均按官网目录原价或官方询价器原价估算，未使用新客、活动、包年、代金券、资源包等折扣；最终以下单页实时价格为准。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</x:row>
    <x:row r="4" ht="34" customHeight="1">
      <x:c r="A4" s="13" t="str">
        <x:v>序号</x:v>
      </x:c>
      <x:c r="B4" s="13" t="str">
        <x:v>产品</x:v>
      </x:c>
      <x:c r="C4" s="13" t="str">
        <x:v>配置名/规格代码</x:v>
      </x:c>
      <x:c r="D4" s="13" t="str">
        <x:v>完整配置</x:v>
      </x:c>
      <x:c r="E4" s="13" t="str">
        <x:v>计费方式</x:v>
      </x:c>
      <x:c r="F4" s="13" t="str">
        <x:v>计费数量</x:v>
      </x:c>
      <x:c r="G4" s="13" t="str">
        <x:v>未折扣原价单价</x:v>
      </x:c>
      <x:c r="H4" s="13" t="str">
        <x:v>计价单位</x:v>
      </x:c>
      <x:c r="I4" s="13" t="str">
        <x:v>预计月金额</x:v>
      </x:c>
      <x:c r="J4" s="13" t="str">
        <x:v>预计年金额</x:v>
      </x:c>
      <x:c r="K4" s="13" t="str">
        <x:v>官方价格/购买链接</x:v>
      </x:c>
      <x:c r="L4" s="13" t="str">
        <x:v>说明</x:v>
      </x:c>
    </x:row>
    <x:row r="5" ht="54" customHeight="1">
      <x:c r="A5" s="244" t="n">
        <x:v>1</x:v>
      </x:c>
      <x:c r="B5" s="213" t="str">
        <x:v>ECS云服务器</x:v>
      </x:c>
      <x:c r="C5" s="213" t="str">
        <x:v>ecs.u1-c1m2.large</x:v>
      </x:c>
      <x:c r="D5" s="213" t="str">
        <x:v>通用算力型 u1；2 vCPU；4 GiB；Linux；2台</x:v>
      </x:c>
      <x:c r="E5" s="244" t="str">
        <x:v>包年包月目录价（按月测算）</x:v>
      </x:c>
      <x:c r="F5" s="245" t="n">
        <x:v>2</x:v>
      </x:c>
      <x:c r="G5" s="246" t="n">
        <x:v>168.6</x:v>
      </x:c>
      <x:c r="H5" s="246" t="str">
        <x:v>元/台·月</x:v>
      </x:c>
      <x:c r="I5" s="246" t="n">
        <x:f>F5*G5</x:f>
        <x:v>337.2</x:v>
      </x:c>
      <x:c r="J5" s="246" t="n">
        <x:f>I5*12</x:f>
        <x:v>4046.3999999999996</x:v>
      </x:c>
      <x:c r="K5" s="217" t="str">
        <x:v>https://ecs-buy.aliyun.com/price</x:v>
      </x:c>
      <x:c r="L5" s="213" t="str">
        <x:v>固定配置；两台应用节点，分别部署API/后台服务</x:v>
      </x:c>
    </x:row>
    <x:row r="6" ht="54" customHeight="1">
      <x:c r="A6" s="247" t="n">
        <x:v>2</x:v>
      </x:c>
      <x:c r="B6" s="219" t="str">
        <x:v>ECS系统盘</x:v>
      </x:c>
      <x:c r="C6" s="219" t="str">
        <x:v>ESSD Entry</x:v>
      </x:c>
      <x:c r="D6" s="219" t="str">
        <x:v>每台100 GiB；2台合计200 GiB</x:v>
      </x:c>
      <x:c r="E6" s="247" t="str">
        <x:v>包年包月目录价（按容量）</x:v>
      </x:c>
      <x:c r="F6" s="248" t="n">
        <x:v>200</x:v>
      </x:c>
      <x:c r="G6" s="249" t="n">
        <x:v>0.2</x:v>
      </x:c>
      <x:c r="H6" s="249" t="str">
        <x:v>元/GiB·月</x:v>
      </x:c>
      <x:c r="I6" s="249" t="n">
        <x:f>F6*G6</x:f>
        <x:v>40</x:v>
      </x:c>
      <x:c r="J6" s="249" t="n">
        <x:f>I6*12</x:f>
        <x:v>480</x:v>
      </x:c>
      <x:c r="K6" s="223" t="str">
        <x:v>https://help.aliyun.com/zh/ecs/user-guide/elastic-block-storage-devices</x:v>
      </x:c>
      <x:c r="L6" s="219" t="str">
        <x:v>固定容量；未计快照，快照在按量表单列</x:v>
      </x:c>
    </x:row>
    <x:row r="7" ht="54" customHeight="1">
      <x:c r="A7" s="247" t="n">
        <x:v>3</x:v>
      </x:c>
      <x:c r="B7" s="219" t="str">
        <x:v>应用型负载均衡ALB</x:v>
      </x:c>
      <x:c r="C7" s="219" t="str">
        <x:v>基础版</x:v>
      </x:c>
      <x:c r="D7" s="219" t="str">
        <x:v>公网ALB；基础版；1个实例；运行720小时/月</x:v>
      </x:c>
      <x:c r="E7" s="247" t="str">
        <x:v>按量付费（实例费按小时）</x:v>
      </x:c>
      <x:c r="F7" s="248" t="n">
        <x:v>7.2</x:v>
      </x:c>
      <x:c r="G7" s="249" t="n">
        <x:v>4.9</x:v>
      </x:c>
      <x:c r="H7" s="249" t="str">
        <x:v>元/百小时</x:v>
      </x:c>
      <x:c r="I7" s="249" t="n">
        <x:f>F7*G7</x:f>
        <x:v>35.28</x:v>
      </x:c>
      <x:c r="J7" s="249" t="n">
        <x:f>I7*12</x:f>
        <x:v>423.36</x:v>
      </x:c>
      <x:c r="K7" s="223" t="str">
        <x:v>https://help.aliyun.com/zh/slb/application-load-balancer/alb-billing-rules</x:v>
      </x:c>
      <x:c r="L7" s="219" t="str">
        <x:v>未折扣原价4.90元/百小时；本行按720小时计</x:v>
      </x:c>
    </x:row>
    <x:row r="8" ht="54" customHeight="1">
      <x:c r="A8" s="247" t="n">
        <x:v>4</x:v>
      </x:c>
      <x:c r="B8" s="219" t="str">
        <x:v>ALB公网带宽</x:v>
      </x:c>
      <x:c r="C8" s="219" t="str">
        <x:v>固定带宽</x:v>
      </x:c>
      <x:c r="D8" s="219" t="str">
        <x:v>中国内地；5 Mbps；绑定公网ALB</x:v>
      </x:c>
      <x:c r="E8" s="247" t="str">
        <x:v>固定带宽目录价（按月测算）</x:v>
      </x:c>
      <x:c r="F8" s="248" t="n">
        <x:v>1</x:v>
      </x:c>
      <x:c r="G8" s="249" t="n">
        <x:v>125</x:v>
      </x:c>
      <x:c r="H8" s="249" t="str">
        <x:v>元/月</x:v>
      </x:c>
      <x:c r="I8" s="249" t="n">
        <x:f>F8*G8</x:f>
        <x:v>125</x:v>
      </x:c>
      <x:c r="J8" s="249" t="n">
        <x:f>I8*12</x:f>
        <x:v>1500</x:v>
      </x:c>
      <x:c r="K8" s="223" t="str">
        <x:v>https://help.aliyun.com/zh/ecs/user-guide/billing-for-public-bandwidth</x:v>
      </x:c>
      <x:c r="L8" s="219" t="str">
        <x:v>公网入口位于ALB；后端两台ECS仅走内网</x:v>
      </x:c>
    </x:row>
    <x:row r="9" ht="54" customHeight="1">
      <x:c r="A9" s="247" t="n">
        <x:v>5</x:v>
      </x:c>
      <x:c r="B9" s="219" t="str">
        <x:v>RDS MySQL计算</x:v>
      </x:c>
      <x:c r="C9" s="219" t="str">
        <x:v>mysql.n2e.medium.1（倚天版）</x:v>
      </x:c>
      <x:c r="D9" s="219" t="str">
        <x:v>MySQL 8.0；基础系列；通用型；2核4GB；单节点</x:v>
      </x:c>
      <x:c r="E9" s="247" t="str">
        <x:v>包年包月目录价（按月测算）</x:v>
      </x:c>
      <x:c r="F9" s="248" t="n">
        <x:v>1</x:v>
      </x:c>
      <x:c r="G9" s="249" t="n">
        <x:v>68</x:v>
      </x:c>
      <x:c r="H9" s="249" t="str">
        <x:v>元/实例·月</x:v>
      </x:c>
      <x:c r="I9" s="249" t="n">
        <x:f>F9*G9</x:f>
        <x:v>68</x:v>
      </x:c>
      <x:c r="J9" s="249" t="n">
        <x:f>I9*12</x:f>
        <x:v>816</x:v>
      </x:c>
      <x:c r="K9" s="223" t="str">
        <x:v>https://www.aliyun.com/price/product#/rds/detail</x:v>
      </x:c>
      <x:c r="L9" s="219" t="str">
        <x:v>固定配置；基础系列存在单点故障风险</x:v>
      </x:c>
    </x:row>
    <x:row r="10" ht="54" customHeight="1">
      <x:c r="A10" s="247" t="n">
        <x:v>6</x:v>
      </x:c>
      <x:c r="B10" s="219" t="str">
        <x:v>RDS MySQL存储</x:v>
      </x:c>
      <x:c r="C10" s="219" t="str">
        <x:v>ESSD PL0云盘</x:v>
      </x:c>
      <x:c r="D10" s="219" t="str">
        <x:v>50 GiB；与上述RDS实例同地域</x:v>
      </x:c>
      <x:c r="E10" s="247" t="str">
        <x:v>包年包月目录价（按容量）</x:v>
      </x:c>
      <x:c r="F10" s="248" t="n">
        <x:v>50</x:v>
      </x:c>
      <x:c r="G10" s="249" t="n">
        <x:v>0.4</x:v>
      </x:c>
      <x:c r="H10" s="249" t="str">
        <x:v>元/GiB·月</x:v>
      </x:c>
      <x:c r="I10" s="249" t="n">
        <x:f>F10*G10</x:f>
        <x:v>20</x:v>
      </x:c>
      <x:c r="J10" s="249" t="n">
        <x:f>I10*12</x:f>
        <x:v>240</x:v>
      </x:c>
      <x:c r="K10" s="223" t="str">
        <x:v>https://www.aliyun.com/price/product#/rds/detail</x:v>
      </x:c>
      <x:c r="L10" s="219" t="str">
        <x:v>固定容量；备份免费额度外费用未计</x:v>
      </x:c>
    </x:row>
    <x:row r="11" ht="54" customHeight="1">
      <x:c r="A11" s="247" t="n">
        <x:v>7</x:v>
      </x:c>
      <x:c r="B11" s="219" t="str">
        <x:v>Redis</x:v>
      </x:c>
      <x:c r="C11" s="219" t="str">
        <x:v>ECS内自建 Redis</x:v>
      </x:c>
      <x:c r="D11" s="219" t="str">
        <x:v>部署在ECS-1；两台应用节点通过内网共享访问</x:v>
      </x:c>
      <x:c r="E11" s="247" t="str">
        <x:v>不单独购云资源</x:v>
      </x:c>
      <x:c r="F11" s="248" t="n">
        <x:v>1</x:v>
      </x:c>
      <x:c r="G11" s="249" t="n">
        <x:v>0</x:v>
      </x:c>
      <x:c r="H11" s="249" t="str">
        <x:v>元/月</x:v>
      </x:c>
      <x:c r="I11" s="249" t="n">
        <x:f>F11*G11</x:f>
        <x:v>0</x:v>
      </x:c>
      <x:c r="J11" s="249" t="n">
        <x:f>I11*12</x:f>
        <x:v>0</x:v>
      </x:c>
      <x:c r="K11" s="223" t="str"/>
      <x:c r="L11" s="219" t="str">
        <x:v>无独立云Redis费用；Redis仍存在单点风险</x:v>
      </x:c>
    </x:row>
    <x:row r="12" ht="54" customHeight="1">
      <x:c r="A12" s="247" t="n">
        <x:v>8</x:v>
      </x:c>
      <x:c r="B12" s="219" t="str">
        <x:v>域名</x:v>
      </x:c>
      <x:c r="C12" s="219" t="str">
        <x:v>.com/.cn 预算项</x:v>
      </x:c>
      <x:c r="D12" s="219" t="str">
        <x:v>1个域名；实际后缀待定</x:v>
      </x:c>
      <x:c r="E12" s="247" t="str">
        <x:v>按年购买（月度摊销）</x:v>
      </x:c>
      <x:c r="F12" s="248" t="n">
        <x:v>1</x:v>
      </x:c>
      <x:c r="G12" s="249" t="n">
        <x:v>100</x:v>
      </x:c>
      <x:c r="H12" s="249" t="str">
        <x:v>元/个·年</x:v>
      </x:c>
      <x:c r="I12" s="249" t="n">
        <x:f>F12*G12/12</x:f>
        <x:v>8.333333333333334</x:v>
      </x:c>
      <x:c r="J12" s="249" t="n">
        <x:f>G12*F12</x:f>
        <x:v>100</x:v>
      </x:c>
      <x:c r="K12" s="223" t="str">
        <x:v>https://wanwang.aliyun.com/domain/price</x:v>
      </x:c>
      <x:c r="L12" s="219" t="str">
        <x:v>预算假设；不同后缀、注册与续费价格不同</x:v>
      </x:c>
    </x:row>
    <x:row r="13" ht="54" customHeight="1">
      <x:c r="A13" s="247" t="n">
        <x:v>9</x:v>
      </x:c>
      <x:c r="B13" s="219" t="str">
        <x:v>SSL证书</x:v>
      </x:c>
      <x:c r="C13" s="219" t="str">
        <x:v>免费DV证书</x:v>
      </x:c>
      <x:c r="D13" s="219" t="str">
        <x:v>HTTPS基础证书</x:v>
      </x:c>
      <x:c r="E13" s="247" t="str">
        <x:v>免费</x:v>
      </x:c>
      <x:c r="F13" s="248" t="n">
        <x:v>1</x:v>
      </x:c>
      <x:c r="G13" s="249" t="n">
        <x:v>0</x:v>
      </x:c>
      <x:c r="H13" s="249" t="str">
        <x:v>元/年</x:v>
      </x:c>
      <x:c r="I13" s="249" t="n">
        <x:f>F13*G13/12</x:f>
        <x:v>0</x:v>
      </x:c>
      <x:c r="J13" s="249" t="n">
        <x:f>G13*F13</x:f>
        <x:v>0</x:v>
      </x:c>
      <x:c r="K13" s="223" t="str">
        <x:v>https://www.aliyun.com/product/cas</x:v>
      </x:c>
      <x:c r="L13" s="219" t="str">
        <x:v>如采购企业型/OV/EV证书需另行报价</x:v>
      </x:c>
    </x:row>
    <x:row r="14" ht="54" customHeight="1">
      <x:c r="A14" s="247" t="n">
        <x:v>10</x:v>
      </x:c>
      <x:c r="B14" s="219" t="str">
        <x:v>云监控</x:v>
      </x:c>
      <x:c r="C14" s="219" t="str">
        <x:v>基础云监控</x:v>
      </x:c>
      <x:c r="D14" s="219" t="str">
        <x:v>ECS/RDS/ALB基础指标与告警</x:v>
      </x:c>
      <x:c r="E14" s="247" t="str">
        <x:v>免费基础版</x:v>
      </x:c>
      <x:c r="F14" s="248" t="n">
        <x:v>1</x:v>
      </x:c>
      <x:c r="G14" s="249" t="n">
        <x:v>0</x:v>
      </x:c>
      <x:c r="H14" s="249" t="str">
        <x:v>元/月</x:v>
      </x:c>
      <x:c r="I14" s="249" t="n">
        <x:f>F14*G14</x:f>
        <x:v>0</x:v>
      </x:c>
      <x:c r="J14" s="249" t="n">
        <x:f>I14*12</x:f>
        <x:v>0</x:v>
      </x:c>
      <x:c r="K14" s="223" t="str">
        <x:v>https://www.aliyun.com/product/jiankong</x:v>
      </x:c>
      <x:c r="L14" s="219" t="str">
        <x:v>自定义高级监控、电话告警等另计</x:v>
      </x:c>
    </x:row>
    <x:row r="15">
      <x:c r="A15" s="225" t="str">
        <x:v>固定配置合计</x:v>
      </x:c>
      <x:c r="B15" s="226"/>
      <x:c r="C15" s="226"/>
      <x:c r="D15" s="226"/>
      <x:c r="E15" s="226"/>
      <x:c r="F15" s="226"/>
      <x:c r="G15" s="227"/>
      <x:c r="H15" s="227"/>
      <x:c r="I15" s="227" t="n">
        <x:f>SUM(I5:I14)</x:f>
        <x:v>633.8133333333334</x:v>
      </x:c>
      <x:c r="J15" s="227" t="n">
        <x:f>SUM(J5:J14)</x:f>
        <x:v>7605.759999999999</x:v>
      </x:c>
      <x:c r="K15" s="226" t="str">
        <x:v>不含任何折扣</x:v>
      </x:c>
      <x:c r="L15" s="228"/>
    </x:row>
  </x:sheetData>
  <x:mergeCells>
    <x:mergeCell ref="A1:L1"/>
    <x:mergeCell ref="A2:L2"/>
    <x:mergeCell ref="A15:H15"/>
    <x:mergeCell ref="K15:L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31" hidden="0" customWidth="1"/>
    <x:col min="4" max="4" width="27" hidden="0" customWidth="1"/>
    <x:col min="5" max="5" width="13" hidden="0" customWidth="1"/>
    <x:col min="6" max="6" width="13" hidden="0" customWidth="1"/>
    <x:col min="7" max="7" width="17" hidden="0" customWidth="1"/>
    <x:col min="8" max="8" width="16" hidden="0" customWidth="1"/>
    <x:col min="9" max="9" width="14" hidden="0" customWidth="1"/>
    <x:col min="10" max="10" width="14" hidden="0" customWidth="1"/>
    <x:col min="11" max="11" width="24" hidden="0" customWidth="1"/>
    <x:col min="12" max="12" width="43" hidden="0" customWidth="1"/>
    <x:col min="13" max="13" width="39" hidden="0" customWidth="1"/>
  </x:cols>
  <x:sheetData>
    <x:row r="1" ht="34" customHeight="1">
      <x:c r="A1" s="195" t="str">
        <x:v>阿里云按量计费报价明细（未折扣原价）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</x:row>
    <x:row r="2" ht="42" customHeight="1">
      <x:c r="A2" s="7" t="str">
        <x:v>黄色单元格为可调整的月度预计用量。所有项目均明确按量计算：月金额 = 预计用量 × 官网未折扣单价；未使用资源包、免费额度或促销折扣。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</x:row>
    <x:row r="4" ht="38" customHeight="1">
      <x:c r="A4" s="13" t="str">
        <x:v>序号</x:v>
      </x:c>
      <x:c r="B4" s="13" t="str">
        <x:v>产品</x:v>
      </x:c>
      <x:c r="C4" s="13" t="str">
        <x:v>计费项</x:v>
      </x:c>
      <x:c r="D4" s="13" t="str">
        <x:v>计费方式（按量）</x:v>
      </x:c>
      <x:c r="E4" s="13" t="str">
        <x:v>预计月用量</x:v>
      </x:c>
      <x:c r="F4" s="13" t="str">
        <x:v>用量单位</x:v>
      </x:c>
      <x:c r="G4" s="13" t="str">
        <x:v>未折扣原价单价</x:v>
      </x:c>
      <x:c r="H4" s="13" t="str">
        <x:v>单价单位</x:v>
      </x:c>
      <x:c r="I4" s="13" t="str">
        <x:v>月金额</x:v>
      </x:c>
      <x:c r="J4" s="13" t="str">
        <x:v>年金额</x:v>
      </x:c>
      <x:c r="K4" s="13" t="str">
        <x:v>计算式</x:v>
      </x:c>
      <x:c r="L4" s="13" t="str">
        <x:v>官方价格链接</x:v>
      </x:c>
      <x:c r="M4" s="13" t="str">
        <x:v>使用假设/备注</x:v>
      </x:c>
    </x:row>
    <x:row r="5" ht="56" customHeight="1">
      <x:c r="A5" s="244" t="n">
        <x:v>1</x:v>
      </x:c>
      <x:c r="B5" s="213" t="str">
        <x:v>应用型负载均衡ALB</x:v>
      </x:c>
      <x:c r="C5" s="213" t="str">
        <x:v>性能容量单位LCU</x:v>
      </x:c>
      <x:c r="D5" s="244" t="str">
        <x:v>按量计费（按实际LCU用量）</x:v>
      </x:c>
      <x:c r="E5" s="250" t="n">
        <x:v>0.72</x:v>
      </x:c>
      <x:c r="F5" s="244" t="str">
        <x:v>百LCU·小时</x:v>
      </x:c>
      <x:c r="G5" s="246" t="n">
        <x:v>4.9</x:v>
      </x:c>
      <x:c r="H5" s="246" t="str">
        <x:v>元/百LCU·小时</x:v>
      </x:c>
      <x:c r="I5" s="246" t="n">
        <x:f>E5*G5</x:f>
        <x:v>3.528</x:v>
      </x:c>
      <x:c r="J5" s="246" t="n">
        <x:f>I5*12</x:f>
        <x:v>42.336</x:v>
      </x:c>
      <x:c r="K5" s="213" t="str">
        <x:v>0.72 × 4.90</x:v>
      </x:c>
      <x:c r="L5" s="217" t="str">
        <x:v>https://help.aliyun.com/zh/slb/application-load-balancer/alb-billing-rules</x:v>
      </x:c>
      <x:c r="M5" s="213" t="str">
        <x:v>未折扣原价4.90元/百LCU·小时；按冷启动平均0.10 LCU换算</x:v>
      </x:c>
    </x:row>
    <x:row r="6" ht="56" customHeight="1">
      <x:c r="A6" s="247" t="n">
        <x:v>2</x:v>
      </x:c>
      <x:c r="B6" s="219" t="str">
        <x:v>OSS</x:v>
      </x:c>
      <x:c r="C6" s="219" t="str">
        <x:v>标准存储（本地冗余）</x:v>
      </x:c>
      <x:c r="D6" s="247" t="str">
        <x:v>按量计费（按实际GB·月）</x:v>
      </x:c>
      <x:c r="E6" s="251" t="n">
        <x:v>100</x:v>
      </x:c>
      <x:c r="F6" s="247" t="str">
        <x:v>GB·月</x:v>
      </x:c>
      <x:c r="G6" s="249" t="n">
        <x:v>0.12</x:v>
      </x:c>
      <x:c r="H6" s="249" t="str">
        <x:v>元/GB·月</x:v>
      </x:c>
      <x:c r="I6" s="249" t="n">
        <x:f>E6*G6</x:f>
        <x:v>12</x:v>
      </x:c>
      <x:c r="J6" s="249" t="n">
        <x:f>I6*12</x:f>
        <x:v>144</x:v>
      </x:c>
      <x:c r="K6" s="219" t="str">
        <x:v>100.00 × 0.12</x:v>
      </x:c>
      <x:c r="L6" s="223" t="str">
        <x:v>https://help.aliyun.com/zh/oss/storage-fees</x:v>
      </x:c>
      <x:c r="M6" s="219" t="str">
        <x:v>头像、聊天图片、报告和商品图片；初期平均占用100GB</x:v>
      </x:c>
    </x:row>
    <x:row r="7" ht="56" customHeight="1">
      <x:c r="A7" s="247" t="n">
        <x:v>3</x:v>
      </x:c>
      <x:c r="B7" s="219" t="str">
        <x:v>CDN</x:v>
      </x:c>
      <x:c r="C7" s="219" t="str">
        <x:v>中国内地下行流量 0-10TB档</x:v>
      </x:c>
      <x:c r="D7" s="247" t="str">
        <x:v>按量计费（按实际下行GB）</x:v>
      </x:c>
      <x:c r="E7" s="251" t="n">
        <x:v>200</x:v>
      </x:c>
      <x:c r="F7" s="247" t="str">
        <x:v>GB</x:v>
      </x:c>
      <x:c r="G7" s="249" t="n">
        <x:v>0.24</x:v>
      </x:c>
      <x:c r="H7" s="249" t="str">
        <x:v>元/GB</x:v>
      </x:c>
      <x:c r="I7" s="249" t="n">
        <x:f>E7*G7</x:f>
        <x:v>48</x:v>
      </x:c>
      <x:c r="J7" s="249" t="n">
        <x:f>I7*12</x:f>
        <x:v>576</x:v>
      </x:c>
      <x:c r="K7" s="219" t="str">
        <x:v>200.00 × 0.24</x:v>
      </x:c>
      <x:c r="L7" s="223" t="str">
        <x:v>https://help.aliyun.com/zh/cdn/product-overview/billing-rules-of-basic-services</x:v>
      </x:c>
      <x:c r="M7" s="219" t="str">
        <x:v>前期每月200GB；流量超过阶梯后单价变化</x:v>
      </x:c>
    </x:row>
    <x:row r="8" ht="56" customHeight="1">
      <x:c r="A8" s="247" t="n">
        <x:v>4</x:v>
      </x:c>
      <x:c r="B8" s="219" t="str">
        <x:v>OSS</x:v>
      </x:c>
      <x:c r="C8" s="219" t="str">
        <x:v>CDN回源流出流量</x:v>
      </x:c>
      <x:c r="D8" s="247" t="str">
        <x:v>按量计费（按实际回源GB）</x:v>
      </x:c>
      <x:c r="E8" s="251" t="n">
        <x:v>40</x:v>
      </x:c>
      <x:c r="F8" s="247" t="str">
        <x:v>GB</x:v>
      </x:c>
      <x:c r="G8" s="249" t="n">
        <x:v>0.15</x:v>
      </x:c>
      <x:c r="H8" s="249" t="str">
        <x:v>元/GB</x:v>
      </x:c>
      <x:c r="I8" s="249" t="n">
        <x:f>E8*G8</x:f>
        <x:v>6</x:v>
      </x:c>
      <x:c r="J8" s="249" t="n">
        <x:f>I8*12</x:f>
        <x:v>72</x:v>
      </x:c>
      <x:c r="K8" s="219" t="str">
        <x:v>40.00 × 0.15</x:v>
      </x:c>
      <x:c r="L8" s="223" t="str">
        <x:v>https://help.aliyun.com/zh/oss/billing-examples</x:v>
      </x:c>
      <x:c r="M8" s="219" t="str">
        <x:v>假设CDN回源40GB/月；命中率越高则越低</x:v>
      </x:c>
    </x:row>
    <x:row r="9" ht="56" customHeight="1">
      <x:c r="A9" s="247" t="n">
        <x:v>5</x:v>
      </x:c>
      <x:c r="B9" s="219" t="str">
        <x:v>OSS</x:v>
      </x:c>
      <x:c r="C9" s="219" t="str">
        <x:v>GET类请求</x:v>
      </x:c>
      <x:c r="D9" s="247" t="str">
        <x:v>按量计费（按实际请求次数）</x:v>
      </x:c>
      <x:c r="E9" s="251" t="n">
        <x:v>100</x:v>
      </x:c>
      <x:c r="F9" s="247" t="str">
        <x:v>万次</x:v>
      </x:c>
      <x:c r="G9" s="249" t="n">
        <x:v>0.01</x:v>
      </x:c>
      <x:c r="H9" s="249" t="str">
        <x:v>元/万次</x:v>
      </x:c>
      <x:c r="I9" s="249" t="n">
        <x:f>E9*G9</x:f>
        <x:v>1</x:v>
      </x:c>
      <x:c r="J9" s="249" t="n">
        <x:f>I9*12</x:f>
        <x:v>12</x:v>
      </x:c>
      <x:c r="K9" s="219" t="str">
        <x:v>100.00 × 0.01</x:v>
      </x:c>
      <x:c r="L9" s="223" t="str">
        <x:v>https://help.aliyun.com/zh/oss/billing-examples</x:v>
      </x:c>
      <x:c r="M9" s="219" t="str">
        <x:v>假设100万次GET/月</x:v>
      </x:c>
    </x:row>
    <x:row r="10" ht="56" customHeight="1">
      <x:c r="A10" s="247" t="n">
        <x:v>6</x:v>
      </x:c>
      <x:c r="B10" s="219" t="str">
        <x:v>短信服务</x:v>
      </x:c>
      <x:c r="C10" s="219" t="str">
        <x:v>验证码/通知短信 ≤10万条/月</x:v>
      </x:c>
      <x:c r="D10" s="247" t="str">
        <x:v>按量计费（按实际成功发送条数）</x:v>
      </x:c>
      <x:c r="E10" s="251" t="n">
        <x:v>20</x:v>
      </x:c>
      <x:c r="F10" s="247" t="str">
        <x:v>百条</x:v>
      </x:c>
      <x:c r="G10" s="249" t="n">
        <x:v>4.5</x:v>
      </x:c>
      <x:c r="H10" s="249" t="str">
        <x:v>元/百条</x:v>
      </x:c>
      <x:c r="I10" s="249" t="n">
        <x:f>E10*G10</x:f>
        <x:v>90</x:v>
      </x:c>
      <x:c r="J10" s="249" t="n">
        <x:f>I10*12</x:f>
        <x:v>1080</x:v>
      </x:c>
      <x:c r="K10" s="219" t="str">
        <x:v>20.00 × 4.50</x:v>
      </x:c>
      <x:c r="L10" s="223" t="str">
        <x:v>https://help.aliyun.com/zh/sms/product-overview/billing-of-messages-sent-to-chinese-mainland</x:v>
      </x:c>
      <x:c r="M10" s="219" t="str">
        <x:v>未折扣原价4.50元/百条；长短信可能拆分计费</x:v>
      </x:c>
    </x:row>
    <x:row r="11" ht="56" customHeight="1">
      <x:c r="A11" s="247" t="n">
        <x:v>7</x:v>
      </x:c>
      <x:c r="B11" s="219" t="str">
        <x:v>阿里云百炼</x:v>
      </x:c>
      <x:c r="C11" s="219" t="str">
        <x:v>qwen3.7-plus 输入Token（≤256K档）</x:v>
      </x:c>
      <x:c r="D11" s="247" t="str">
        <x:v>按量计费（按实际输入Token）</x:v>
      </x:c>
      <x:c r="E11" s="251" t="n">
        <x:v>25</x:v>
      </x:c>
      <x:c r="F11" s="247" t="str">
        <x:v>百万Token</x:v>
      </x:c>
      <x:c r="G11" s="249" t="n">
        <x:v>2</x:v>
      </x:c>
      <x:c r="H11" s="249" t="str">
        <x:v>元/百万Token</x:v>
      </x:c>
      <x:c r="I11" s="249" t="n">
        <x:f>E11*G11</x:f>
        <x:v>50</x:v>
      </x:c>
      <x:c r="J11" s="249" t="n">
        <x:f>I11*12</x:f>
        <x:v>600</x:v>
      </x:c>
      <x:c r="K11" s="219" t="str">
        <x:v>25.00 × 2.00</x:v>
      </x:c>
      <x:c r="L11" s="223" t="str">
        <x:v>https://help.aliyun.com/zh/model-studio/model-pricing</x:v>
      </x:c>
      <x:c r="M11" s="219" t="str">
        <x:v>按原价，不计页面限时折扣；约1万次×2,500输入Token</x:v>
      </x:c>
    </x:row>
    <x:row r="12" ht="56" customHeight="1">
      <x:c r="A12" s="247" t="n">
        <x:v>8</x:v>
      </x:c>
      <x:c r="B12" s="219" t="str">
        <x:v>阿里云百炼</x:v>
      </x:c>
      <x:c r="C12" s="219" t="str">
        <x:v>qwen3.7-plus 输出Token（≤256K档）</x:v>
      </x:c>
      <x:c r="D12" s="247" t="str">
        <x:v>按量计费（按实际输出Token）</x:v>
      </x:c>
      <x:c r="E12" s="251" t="n">
        <x:v>10</x:v>
      </x:c>
      <x:c r="F12" s="247" t="str">
        <x:v>百万Token</x:v>
      </x:c>
      <x:c r="G12" s="249" t="n">
        <x:v>8</x:v>
      </x:c>
      <x:c r="H12" s="249" t="str">
        <x:v>元/百万Token</x:v>
      </x:c>
      <x:c r="I12" s="249" t="n">
        <x:f>E12*G12</x:f>
        <x:v>80</x:v>
      </x:c>
      <x:c r="J12" s="249" t="n">
        <x:f>I12*12</x:f>
        <x:v>960</x:v>
      </x:c>
      <x:c r="K12" s="219" t="str">
        <x:v>10.00 × 8.00</x:v>
      </x:c>
      <x:c r="L12" s="223" t="str">
        <x:v>https://help.aliyun.com/zh/model-studio/model-pricing</x:v>
      </x:c>
      <x:c r="M12" s="219" t="str">
        <x:v>按原价，不计页面限时折扣；约1万次×1,000输出Token</x:v>
      </x:c>
    </x:row>
    <x:row r="13" ht="56" customHeight="1">
      <x:c r="A13" s="247" t="n">
        <x:v>9</x:v>
      </x:c>
      <x:c r="B13" s="219" t="str">
        <x:v>SLS日志服务</x:v>
      </x:c>
      <x:c r="C13" s="219" t="str">
        <x:v>原始写入数据量</x:v>
      </x:c>
      <x:c r="D13" s="247" t="str">
        <x:v>按量计费（按实际写入GB）</x:v>
      </x:c>
      <x:c r="E13" s="251" t="n">
        <x:v>5</x:v>
      </x:c>
      <x:c r="F13" s="247" t="str">
        <x:v>GB</x:v>
      </x:c>
      <x:c r="G13" s="249" t="n">
        <x:v>0.4</x:v>
      </x:c>
      <x:c r="H13" s="249" t="str">
        <x:v>元/GB</x:v>
      </x:c>
      <x:c r="I13" s="249" t="n">
        <x:f>E13*G13</x:f>
        <x:v>2</x:v>
      </x:c>
      <x:c r="J13" s="249" t="n">
        <x:f>I13*12</x:f>
        <x:v>24</x:v>
      </x:c>
      <x:c r="K13" s="219" t="str">
        <x:v>5.00 × 0.40</x:v>
      </x:c>
      <x:c r="L13" s="223" t="str">
        <x:v>https://help.aliyun.com/zh/sls/overview-11</x:v>
      </x:c>
      <x:c r="M13" s="219" t="str">
        <x:v>API、错误、审计日志合计5GB/月</x:v>
      </x:c>
    </x:row>
    <x:row r="14" ht="56" customHeight="1">
      <x:c r="A14" s="247" t="n">
        <x:v>10</x:v>
      </x:c>
      <x:c r="B14" s="219" t="str">
        <x:v>SLS日志服务</x:v>
      </x:c>
      <x:c r="C14" s="219" t="str">
        <x:v>日志索引流量</x:v>
      </x:c>
      <x:c r="D14" s="247" t="str">
        <x:v>按量计费（按实际索引GB）</x:v>
      </x:c>
      <x:c r="E14" s="251" t="n">
        <x:v>5</x:v>
      </x:c>
      <x:c r="F14" s="247" t="str">
        <x:v>GB</x:v>
      </x:c>
      <x:c r="G14" s="249" t="n">
        <x:v>0.35</x:v>
      </x:c>
      <x:c r="H14" s="249" t="str">
        <x:v>元/GB</x:v>
      </x:c>
      <x:c r="I14" s="249" t="n">
        <x:f>E14*G14</x:f>
        <x:v>1.75</x:v>
      </x:c>
      <x:c r="J14" s="249" t="n">
        <x:f>I14*12</x:f>
        <x:v>21</x:v>
      </x:c>
      <x:c r="K14" s="219" t="str">
        <x:v>5.00 × 0.35</x:v>
      </x:c>
      <x:c r="L14" s="223" t="str">
        <x:v>https://help.aliyun.com/zh/sls/overview-11</x:v>
      </x:c>
      <x:c r="M14" s="219" t="str">
        <x:v>假设全部日志建立索引</x:v>
      </x:c>
    </x:row>
    <x:row r="15" ht="56" customHeight="1">
      <x:c r="A15" s="247" t="n">
        <x:v>11</x:v>
      </x:c>
      <x:c r="B15" s="219" t="str">
        <x:v>SLS日志服务</x:v>
      </x:c>
      <x:c r="C15" s="219" t="str">
        <x:v>日志热存储</x:v>
      </x:c>
      <x:c r="D15" s="247" t="str">
        <x:v>按量计费（按实际GB·天）</x:v>
      </x:c>
      <x:c r="E15" s="251" t="n">
        <x:v>1.5</x:v>
      </x:c>
      <x:c r="F15" s="247" t="str">
        <x:v>百GB·天</x:v>
      </x:c>
      <x:c r="G15" s="249" t="n">
        <x:v>1.15</x:v>
      </x:c>
      <x:c r="H15" s="249" t="str">
        <x:v>元/百GB·天</x:v>
      </x:c>
      <x:c r="I15" s="249" t="n">
        <x:f>E15*G15</x:f>
        <x:v>1.7249999999999999</x:v>
      </x:c>
      <x:c r="J15" s="249" t="n">
        <x:f>I15*12</x:f>
        <x:v>20.7</x:v>
      </x:c>
      <x:c r="K15" s="219" t="str">
        <x:v>1.50 × 1.15</x:v>
      </x:c>
      <x:c r="L15" s="223" t="str">
        <x:v>https://help.aliyun.com/zh/sls/overview-11</x:v>
      </x:c>
      <x:c r="M15" s="219" t="str">
        <x:v>未折扣原价1.15元/百GB·天；平均5GB保留30天</x:v>
      </x:c>
    </x:row>
    <x:row r="16" ht="56" customHeight="1">
      <x:c r="A16" s="247" t="n">
        <x:v>12</x:v>
      </x:c>
      <x:c r="B16" s="219" t="str">
        <x:v>ECS快照</x:v>
      </x:c>
      <x:c r="C16" s="219" t="str">
        <x:v>标准快照（杭州）</x:v>
      </x:c>
      <x:c r="D16" s="247" t="str">
        <x:v>按量计费（按实际快照GB·月）</x:v>
      </x:c>
      <x:c r="E16" s="251" t="n">
        <x:v>100</x:v>
      </x:c>
      <x:c r="F16" s="247" t="str">
        <x:v>GB·月</x:v>
      </x:c>
      <x:c r="G16" s="249" t="n">
        <x:v>0.12</x:v>
      </x:c>
      <x:c r="H16" s="249" t="str">
        <x:v>元/GB·月</x:v>
      </x:c>
      <x:c r="I16" s="249" t="n">
        <x:f>E16*G16</x:f>
        <x:v>12</x:v>
      </x:c>
      <x:c r="J16" s="249" t="n">
        <x:f>I16*12</x:f>
        <x:v>144</x:v>
      </x:c>
      <x:c r="K16" s="219" t="str">
        <x:v>100.00 × 0.12</x:v>
      </x:c>
      <x:c r="L16" s="223" t="str">
        <x:v>https://help.aliyun.com/zh/ecs/snapshots-1</x:v>
      </x:c>
      <x:c r="M16" s="219" t="str">
        <x:v>两台ECS按实际增量占用计费；此处合计预算100GB</x:v>
      </x:c>
    </x:row>
    <x:row r="17">
      <x:c r="A17" s="225" t="str">
        <x:v>按量计费合计（按本表预计用量）</x:v>
      </x:c>
      <x:c r="B17" s="226"/>
      <x:c r="C17" s="226"/>
      <x:c r="D17" s="226"/>
      <x:c r="E17" s="226"/>
      <x:c r="F17" s="226"/>
      <x:c r="G17" s="227"/>
      <x:c r="H17" s="227"/>
      <x:c r="I17" s="227" t="n">
        <x:f>SUM(I5:I16)</x:f>
        <x:v>308.00300000000004</x:v>
      </x:c>
      <x:c r="J17" s="227" t="n">
        <x:f>SUM(J5:J16)</x:f>
        <x:v>3696.036</x:v>
      </x:c>
      <x:c r="K17" s="226" t="str">
        <x:v>实际账单随真实用量变化</x:v>
      </x:c>
      <x:c r="L17" s="226"/>
      <x:c r="M17" s="228"/>
    </x:row>
  </x:sheetData>
  <x:mergeCells>
    <x:mergeCell ref="A1:M1"/>
    <x:mergeCell ref="A2:M2"/>
    <x:mergeCell ref="A17:H17"/>
    <x:mergeCell ref="K17:M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3" max="3" width="31" hidden="0" customWidth="1"/>
    <x:col min="4" max="4" width="55" hidden="0" customWidth="1"/>
    <x:col min="5" max="5" width="20" hidden="0" customWidth="1"/>
    <x:col min="6" max="6" width="13" hidden="0" customWidth="1"/>
    <x:col min="7" max="7" width="16" hidden="0" customWidth="1"/>
    <x:col min="8" max="8" width="37" hidden="0" customWidth="1"/>
  </x:cols>
  <x:sheetData>
    <x:row r="1" ht="34" customHeight="1">
      <x:c r="A1" s="195" t="str">
        <x:v>价格来源与报价口径</x:v>
      </x:c>
      <x:c r="B1" s="195"/>
      <x:c r="C1" s="195"/>
      <x:c r="D1" s="195"/>
      <x:c r="E1" s="195"/>
      <x:c r="F1" s="195"/>
      <x:c r="G1" s="195"/>
      <x:c r="H1" s="195"/>
    </x:row>
    <x:row r="2" ht="42" customHeight="1">
      <x:c r="A2" s="7" t="str">
        <x:v>来源均为阿里云官方价格页、购买页或帮助文档。固定资源价格因地域、可用区、镜像和购买时长动态变化，表中为未折扣原价预算输入，正式采购前须在对应购买页再次核价。</x:v>
      </x:c>
      <x:c r="B2" s="7"/>
      <x:c r="C2" s="7"/>
      <x:c r="D2" s="7"/>
      <x:c r="E2" s="7"/>
      <x:c r="F2" s="7"/>
      <x:c r="G2" s="7"/>
      <x:c r="H2" s="7"/>
    </x:row>
    <x:row r="3">
      <x:c r="A3" s="198"/>
      <x:c r="B3" s="198"/>
      <x:c r="C3" s="198"/>
      <x:c r="D3" s="198"/>
      <x:c r="E3" s="198"/>
      <x:c r="F3" s="198"/>
      <x:c r="G3" s="198"/>
      <x:c r="H3" s="198"/>
    </x:row>
    <x:row r="4" ht="36" customHeight="1">
      <x:c r="A4" s="13" t="str">
        <x:v>序号</x:v>
      </x:c>
      <x:c r="B4" s="13" t="str">
        <x:v>产品/计费项</x:v>
      </x:c>
      <x:c r="C4" s="13" t="str">
        <x:v>本表采用的未折扣原价</x:v>
      </x:c>
      <x:c r="D4" s="13" t="str">
        <x:v>官方来源URL</x:v>
      </x:c>
      <x:c r="E4" s="13" t="str">
        <x:v>来源类型</x:v>
      </x:c>
      <x:c r="F4" s="13" t="str">
        <x:v>核对日期</x:v>
      </x:c>
      <x:c r="G4" s="13" t="str">
        <x:v>是否按量</x:v>
      </x:c>
      <x:c r="H4" s="13" t="str">
        <x:v>说明</x:v>
      </x:c>
    </x:row>
    <x:row r="5" ht="52" customHeight="1">
      <x:c r="A5" s="244" t="n">
        <x:v>1</x:v>
      </x:c>
      <x:c r="B5" s="213" t="str">
        <x:v>ECS 2核4G计算资源</x:v>
      </x:c>
      <x:c r="C5" s="213" t="str">
        <x:v>¥168.60/台·月（预算输入）</x:v>
      </x:c>
      <x:c r="D5" s="217" t="str">
        <x:v>https://ecs-buy.aliyun.com/price</x:v>
      </x:c>
      <x:c r="E5" s="213" t="str">
        <x:v>官方动态价格页</x:v>
      </x:c>
      <x:c r="F5" s="252" t="n">
        <x:v>46268</x:v>
      </x:c>
      <x:c r="G5" s="244" t="str">
        <x:v>否</x:v>
      </x:c>
      <x:c r="H5" s="213" t="str">
        <x:v>ecs.u1-c1m2.large；2台；未计任何折扣；下单页实时核价</x:v>
      </x:c>
    </x:row>
    <x:row r="6" ht="52" customHeight="1">
      <x:c r="A6" s="247" t="n">
        <x:v>2</x:v>
      </x:c>
      <x:c r="B6" s="219" t="str">
        <x:v>ESSD Entry系统盘</x:v>
      </x:c>
      <x:c r="C6" s="219" t="str">
        <x:v>¥0.20/GiB·月（预算输入）</x:v>
      </x:c>
      <x:c r="D6" s="223" t="str">
        <x:v>https://help.aliyun.com/zh/ecs/user-guide/elastic-block-storage-devices</x:v>
      </x:c>
      <x:c r="E6" s="219" t="str">
        <x:v>官方产品/计费说明</x:v>
      </x:c>
      <x:c r="F6" s="253" t="n">
        <x:v>46268</x:v>
      </x:c>
      <x:c r="G6" s="247" t="str">
        <x:v>否（每台100GiB）</x:v>
      </x:c>
      <x:c r="H6" s="219" t="str">
        <x:v>2台合计200GiB；地域差异以询价器为准</x:v>
      </x:c>
    </x:row>
    <x:row r="7" ht="52" customHeight="1">
      <x:c r="A7" s="247" t="n">
        <x:v>3</x:v>
      </x:c>
      <x:c r="B7" s="219" t="str">
        <x:v>ALB基础版实例费</x:v>
      </x:c>
      <x:c r="C7" s="219" t="str">
        <x:v>¥4.90/百小时</x:v>
      </x:c>
      <x:c r="D7" s="223" t="str">
        <x:v>https://help.aliyun.com/zh/slb/application-load-balancer/alb-billing-rules</x:v>
      </x:c>
      <x:c r="E7" s="219" t="str">
        <x:v>官方明确列价</x:v>
      </x:c>
      <x:c r="F7" s="253" t="n">
        <x:v>46268</x:v>
      </x:c>
      <x:c r="G7" s="247" t="str">
        <x:v>是（按小时）</x:v>
      </x:c>
      <x:c r="H7" s="219" t="str">
        <x:v>1个公网基础版ALB；按720小时/月测算</x:v>
      </x:c>
    </x:row>
    <x:row r="8" ht="52" customHeight="1">
      <x:c r="A8" s="247" t="n">
        <x:v>4</x:v>
      </x:c>
      <x:c r="B8" s="219" t="str">
        <x:v>ALB性能容量单位LCU</x:v>
      </x:c>
      <x:c r="C8" s="219" t="str">
        <x:v>¥4.90/百LCU·小时</x:v>
      </x:c>
      <x:c r="D8" s="223" t="str">
        <x:v>https://help.aliyun.com/zh/slb/application-load-balancer/alb-billing-rules</x:v>
      </x:c>
      <x:c r="E8" s="219" t="str">
        <x:v>官方明确列价</x:v>
      </x:c>
      <x:c r="F8" s="253" t="n">
        <x:v>46268</x:v>
      </x:c>
      <x:c r="G8" s="247" t="str">
        <x:v>是</x:v>
      </x:c>
      <x:c r="H8" s="219" t="str">
        <x:v>按实际LCU使用量；本表假设平均0.10 LCU</x:v>
      </x:c>
    </x:row>
    <x:row r="9" ht="52" customHeight="1">
      <x:c r="A9" s="247" t="n">
        <x:v>5</x:v>
      </x:c>
      <x:c r="B9" s="219" t="str">
        <x:v>ALB 5Mbps固定公网带宽</x:v>
      </x:c>
      <x:c r="C9" s="219" t="str">
        <x:v>¥125.00/月（预算输入）</x:v>
      </x:c>
      <x:c r="D9" s="223" t="str">
        <x:v>https://help.aliyun.com/zh/ecs/user-guide/billing-for-public-bandwidth</x:v>
      </x:c>
      <x:c r="E9" s="219" t="str">
        <x:v>官方计费说明</x:v>
      </x:c>
      <x:c r="F9" s="253" t="n">
        <x:v>46268</x:v>
      </x:c>
      <x:c r="G9" s="247" t="str">
        <x:v>否</x:v>
      </x:c>
      <x:c r="H9" s="219" t="str">
        <x:v>公网入口位于ALB，后端ECS不绑定公网带宽</x:v>
      </x:c>
    </x:row>
    <x:row r="10" ht="52" customHeight="1">
      <x:c r="A10" s="247" t="n">
        <x:v>6</x:v>
      </x:c>
      <x:c r="B10" s="219" t="str">
        <x:v>RDS MySQL 2核4G计算</x:v>
      </x:c>
      <x:c r="C10" s="219" t="str">
        <x:v>¥68.00/实例·月（预算输入）</x:v>
      </x:c>
      <x:c r="D10" s="223" t="str">
        <x:v>https://www.aliyun.com/price/product#/rds/detail</x:v>
      </x:c>
      <x:c r="E10" s="219" t="str">
        <x:v>官方动态询价器</x:v>
      </x:c>
      <x:c r="F10" s="253" t="n">
        <x:v>46268</x:v>
      </x:c>
      <x:c r="G10" s="247" t="str">
        <x:v>否</x:v>
      </x:c>
      <x:c r="H10" s="219" t="str">
        <x:v>mysql.n2e.medium.1（倚天版）；基础系列</x:v>
      </x:c>
    </x:row>
    <x:row r="11" ht="52" customHeight="1">
      <x:c r="A11" s="247" t="n">
        <x:v>7</x:v>
      </x:c>
      <x:c r="B11" s="219" t="str">
        <x:v>RDS MySQL规格</x:v>
      </x:c>
      <x:c r="C11" s="219" t="str">
        <x:v>2核4GB / 基础系列</x:v>
      </x:c>
      <x:c r="D11" s="223" t="str">
        <x:v>https://help.aliyun.com/zh/rds/apsaradb-rds-for-mysql/primary-apsaradb-rds-for-mysql-instance-types-5</x:v>
      </x:c>
      <x:c r="E11" s="219" t="str">
        <x:v>官方规格文档</x:v>
      </x:c>
      <x:c r="F11" s="253" t="n">
        <x:v>46268</x:v>
      </x:c>
      <x:c r="G11" s="247" t="str">
        <x:v>否</x:v>
      </x:c>
      <x:c r="H11" s="219" t="str">
        <x:v>规格代码与最大连接数等以文档为准</x:v>
      </x:c>
    </x:row>
    <x:row r="12" ht="52" customHeight="1">
      <x:c r="A12" s="247" t="n">
        <x:v>8</x:v>
      </x:c>
      <x:c r="B12" s="219" t="str">
        <x:v>OSS标准存储LRS</x:v>
      </x:c>
      <x:c r="C12" s="219" t="str">
        <x:v>¥0.12/GB·月</x:v>
      </x:c>
      <x:c r="D12" s="223" t="str">
        <x:v>https://help.aliyun.com/zh/oss/storage-fees</x:v>
      </x:c>
      <x:c r="E12" s="219" t="str">
        <x:v>官方明确列价</x:v>
      </x:c>
      <x:c r="F12" s="253" t="n">
        <x:v>46268</x:v>
      </x:c>
      <x:c r="G12" s="247" t="str">
        <x:v>是</x:v>
      </x:c>
      <x:c r="H12" s="219" t="str">
        <x:v>按实际容量和存储时长计费</x:v>
      </x:c>
    </x:row>
    <x:row r="13" ht="52" customHeight="1">
      <x:c r="A13" s="247" t="n">
        <x:v>9</x:v>
      </x:c>
      <x:c r="B13" s="219" t="str">
        <x:v>CDN中国内地下行流量</x:v>
      </x:c>
      <x:c r="C13" s="219" t="str">
        <x:v>¥0.24/GB（0-10TB档）</x:v>
      </x:c>
      <x:c r="D13" s="223" t="str">
        <x:v>https://help.aliyun.com/zh/cdn/product-overview/billing-rules-of-basic-services</x:v>
      </x:c>
      <x:c r="E13" s="219" t="str">
        <x:v>官方明确列价</x:v>
      </x:c>
      <x:c r="F13" s="253" t="n">
        <x:v>46268</x:v>
      </x:c>
      <x:c r="G13" s="247" t="str">
        <x:v>是</x:v>
      </x:c>
      <x:c r="H13" s="219" t="str">
        <x:v>按实际下行流量；阶梯计价</x:v>
      </x:c>
    </x:row>
    <x:row r="14" ht="52" customHeight="1">
      <x:c r="A14" s="247" t="n">
        <x:v>10</x:v>
      </x:c>
      <x:c r="B14" s="219" t="str">
        <x:v>OSS CDN回源流出</x:v>
      </x:c>
      <x:c r="C14" s="219" t="str">
        <x:v>¥0.15/GB</x:v>
      </x:c>
      <x:c r="D14" s="223" t="str">
        <x:v>https://help.aliyun.com/zh/oss/billing-examples</x:v>
      </x:c>
      <x:c r="E14" s="219" t="str">
        <x:v>官方计费案例</x:v>
      </x:c>
      <x:c r="F14" s="253" t="n">
        <x:v>46268</x:v>
      </x:c>
      <x:c r="G14" s="247" t="str">
        <x:v>是</x:v>
      </x:c>
      <x:c r="H14" s="219" t="str">
        <x:v>按实际回源流量</x:v>
      </x:c>
    </x:row>
    <x:row r="15" ht="52" customHeight="1">
      <x:c r="A15" s="247" t="n">
        <x:v>11</x:v>
      </x:c>
      <x:c r="B15" s="219" t="str">
        <x:v>OSS GET请求</x:v>
      </x:c>
      <x:c r="C15" s="219" t="str">
        <x:v>¥0.01/万次</x:v>
      </x:c>
      <x:c r="D15" s="223" t="str">
        <x:v>https://help.aliyun.com/zh/oss/billing-examples</x:v>
      </x:c>
      <x:c r="E15" s="219" t="str">
        <x:v>官方计费案例</x:v>
      </x:c>
      <x:c r="F15" s="253" t="n">
        <x:v>46268</x:v>
      </x:c>
      <x:c r="G15" s="247" t="str">
        <x:v>是</x:v>
      </x:c>
      <x:c r="H15" s="219" t="str">
        <x:v>按实际请求次数</x:v>
      </x:c>
    </x:row>
    <x:row r="16" ht="52" customHeight="1">
      <x:c r="A16" s="247" t="n">
        <x:v>12</x:v>
      </x:c>
      <x:c r="B16" s="219" t="str">
        <x:v>国内验证码/通知短信</x:v>
      </x:c>
      <x:c r="C16" s="219" t="str">
        <x:v>¥4.50/百条（≤10万条/月）</x:v>
      </x:c>
      <x:c r="D16" s="223" t="str">
        <x:v>https://help.aliyun.com/zh/sms/product-overview/billing-of-messages-sent-to-chinese-mainland</x:v>
      </x:c>
      <x:c r="E16" s="219" t="str">
        <x:v>官方明确列价</x:v>
      </x:c>
      <x:c r="F16" s="253" t="n">
        <x:v>46268</x:v>
      </x:c>
      <x:c r="G16" s="247" t="str">
        <x:v>是</x:v>
      </x:c>
      <x:c r="H16" s="219" t="str">
        <x:v>按成功发送条数；长短信拆分计费</x:v>
      </x:c>
    </x:row>
    <x:row r="17" ht="52" customHeight="1">
      <x:c r="A17" s="247" t="n">
        <x:v>13</x:v>
      </x:c>
      <x:c r="B17" s="219" t="str">
        <x:v>qwen3.7-plus 输入Token</x:v>
      </x:c>
      <x:c r="C17" s="219" t="str">
        <x:v>原价¥2.00/百万Token（≤256K档）</x:v>
      </x:c>
      <x:c r="D17" s="223" t="str">
        <x:v>https://help.aliyun.com/zh/model-studio/model-pricing</x:v>
      </x:c>
      <x:c r="E17" s="219" t="str">
        <x:v>官方明确原价</x:v>
      </x:c>
      <x:c r="F17" s="253" t="n">
        <x:v>46268</x:v>
      </x:c>
      <x:c r="G17" s="247" t="str">
        <x:v>是</x:v>
      </x:c>
      <x:c r="H17" s="219" t="str">
        <x:v>页面若有临时折扣，本表不采用</x:v>
      </x:c>
    </x:row>
    <x:row r="18" ht="52" customHeight="1">
      <x:c r="A18" s="247" t="n">
        <x:v>14</x:v>
      </x:c>
      <x:c r="B18" s="219" t="str">
        <x:v>qwen3.7-plus 输出Token</x:v>
      </x:c>
      <x:c r="C18" s="219" t="str">
        <x:v>原价¥8.00/百万Token（≤256K档）</x:v>
      </x:c>
      <x:c r="D18" s="223" t="str">
        <x:v>https://help.aliyun.com/zh/model-studio/model-pricing</x:v>
      </x:c>
      <x:c r="E18" s="219" t="str">
        <x:v>官方明确原价</x:v>
      </x:c>
      <x:c r="F18" s="253" t="n">
        <x:v>46268</x:v>
      </x:c>
      <x:c r="G18" s="247" t="str">
        <x:v>是</x:v>
      </x:c>
      <x:c r="H18" s="219" t="str">
        <x:v>页面若有临时折扣，本表不采用</x:v>
      </x:c>
    </x:row>
    <x:row r="19" ht="52" customHeight="1">
      <x:c r="A19" s="247" t="n">
        <x:v>15</x:v>
      </x:c>
      <x:c r="B19" s="219" t="str">
        <x:v>ECS标准快照（杭州）</x:v>
      </x:c>
      <x:c r="C19" s="219" t="str">
        <x:v>¥0.12/GB·月</x:v>
      </x:c>
      <x:c r="D19" s="223" t="str">
        <x:v>https://help.aliyun.com/zh/ecs/snapshots-1</x:v>
      </x:c>
      <x:c r="E19" s="219" t="str">
        <x:v>官方明确列价</x:v>
      </x:c>
      <x:c r="F19" s="253" t="n">
        <x:v>46268</x:v>
      </x:c>
      <x:c r="G19" s="247" t="str">
        <x:v>是</x:v>
      </x:c>
      <x:c r="H19" s="219" t="str">
        <x:v>按两台ECS实际快照容量和存储时长</x:v>
      </x:c>
    </x:row>
    <x:row r="20" ht="52" customHeight="1">
      <x:c r="A20" s="247" t="n">
        <x:v>16</x:v>
      </x:c>
      <x:c r="B20" s="219" t="str">
        <x:v>RDS ESSD PL0存储</x:v>
      </x:c>
      <x:c r="C20" s="219" t="str">
        <x:v>¥0.40/GiB·月（预算输入）</x:v>
      </x:c>
      <x:c r="D20" s="223" t="str">
        <x:v>https://www.aliyun.com/price/product#/rds/detail</x:v>
      </x:c>
      <x:c r="E20" s="219" t="str">
        <x:v>官方动态询价器</x:v>
      </x:c>
      <x:c r="F20" s="253" t="n">
        <x:v>46268</x:v>
      </x:c>
      <x:c r="G20" s="247" t="str">
        <x:v>否（固定50GiB）</x:v>
      </x:c>
      <x:c r="H20" s="219" t="str">
        <x:v>与RDS实例一并购买；下单页实时核价</x:v>
      </x:c>
    </x:row>
    <x:row r="21" ht="52" customHeight="1">
      <x:c r="A21" s="247" t="n">
        <x:v>17</x:v>
      </x:c>
      <x:c r="B21" s="219" t="str">
        <x:v>SLS原始写入</x:v>
      </x:c>
      <x:c r="C21" s="219" t="str">
        <x:v>¥0.40/GB</x:v>
      </x:c>
      <x:c r="D21" s="223" t="str">
        <x:v>https://help.aliyun.com/zh/sls/overview-11</x:v>
      </x:c>
      <x:c r="E21" s="219" t="str">
        <x:v>官方明确列价</x:v>
      </x:c>
      <x:c r="F21" s="253" t="n">
        <x:v>46268</x:v>
      </x:c>
      <x:c r="G21" s="247" t="str">
        <x:v>是</x:v>
      </x:c>
      <x:c r="H21" s="219" t="str">
        <x:v>按实际写入数据量</x:v>
      </x:c>
    </x:row>
    <x:row r="22" ht="52" customHeight="1">
      <x:c r="A22" s="247" t="n">
        <x:v>18</x:v>
      </x:c>
      <x:c r="B22" s="219" t="str">
        <x:v>SLS日志索引</x:v>
      </x:c>
      <x:c r="C22" s="219" t="str">
        <x:v>¥0.35/GB</x:v>
      </x:c>
      <x:c r="D22" s="223" t="str">
        <x:v>https://help.aliyun.com/zh/sls/overview-11</x:v>
      </x:c>
      <x:c r="E22" s="219" t="str">
        <x:v>官方明确列价</x:v>
      </x:c>
      <x:c r="F22" s="253" t="n">
        <x:v>46268</x:v>
      </x:c>
      <x:c r="G22" s="247" t="str">
        <x:v>是</x:v>
      </x:c>
      <x:c r="H22" s="219" t="str">
        <x:v>按实际索引流量</x:v>
      </x:c>
    </x:row>
    <x:row r="23" ht="52" customHeight="1">
      <x:c r="A23" s="247" t="n">
        <x:v>19</x:v>
      </x:c>
      <x:c r="B23" s="219" t="str">
        <x:v>SLS日志热存储</x:v>
      </x:c>
      <x:c r="C23" s="219" t="str">
        <x:v>¥1.15/百GB·天</x:v>
      </x:c>
      <x:c r="D23" s="223" t="str">
        <x:v>https://help.aliyun.com/zh/sls/overview-11</x:v>
      </x:c>
      <x:c r="E23" s="219" t="str">
        <x:v>官方明确列价</x:v>
      </x:c>
      <x:c r="F23" s="253" t="n">
        <x:v>46268</x:v>
      </x:c>
      <x:c r="G23" s="247" t="str">
        <x:v>是</x:v>
      </x:c>
      <x:c r="H23" s="219" t="str">
        <x:v>按实际存储容量和天数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30" hidden="0" customWidth="1"/>
  </x:cols>
  <x:sheetData>
    <x:row r="1" ht="34" customHeight="1">
      <x:c r="A1" s="195" t="str">
        <x:v>价格模型验算</x:v>
      </x:c>
      <x:c r="B1" s="195"/>
      <x:c r="C1" s="195"/>
      <x:c r="D1" s="195"/>
      <x:c r="E1" s="195"/>
      <x:c r="F1" s="195"/>
    </x:row>
    <x:row r="2" ht="42" customHeight="1">
      <x:c r="A2" s="7" t="str">
        <x:v>用于核对固定资源、按量资源、价格总表及月度/年度合计。PASS 仅表示公式一致，不代表云厂商价格永久不变。</x:v>
      </x:c>
      <x:c r="B2" s="7"/>
      <x:c r="C2" s="7"/>
      <x:c r="D2" s="7"/>
      <x:c r="E2" s="7"/>
      <x:c r="F2" s="7"/>
    </x:row>
    <x:row r="3">
      <x:c r="A3" s="198"/>
      <x:c r="B3" s="198"/>
      <x:c r="C3" s="198"/>
      <x:c r="D3" s="198"/>
      <x:c r="E3" s="198"/>
      <x:c r="F3" s="198"/>
    </x:row>
    <x:row r="4" ht="32" customHeight="1">
      <x:c r="A4" s="13" t="str">
        <x:v>检查项</x:v>
      </x:c>
      <x:c r="B4" s="13" t="str">
        <x:v>实际值</x:v>
      </x:c>
      <x:c r="C4" s="13" t="str">
        <x:v>目标/对照值</x:v>
      </x:c>
      <x:c r="D4" s="13" t="str">
        <x:v>差额</x:v>
      </x:c>
      <x:c r="E4" s="13" t="str">
        <x:v>结果</x:v>
      </x:c>
      <x:c r="F4" s="13" t="str">
        <x:v>说明</x:v>
      </x:c>
    </x:row>
    <x:row r="5" ht="32" customHeight="1">
      <x:c r="A5" s="213" t="str">
        <x:v>固定资源月合计</x:v>
      </x:c>
      <x:c r="B5" s="216" t="n">
        <x:f>'价格总表'!A6</x:f>
        <x:v>633.8133333333334</x:v>
      </x:c>
      <x:c r="C5" s="216" t="n">
        <x:f>'固定资源'!I15</x:f>
        <x:v>633.8133333333334</x:v>
      </x:c>
      <x:c r="D5" s="216" t="n">
        <x:f>B5-C5</x:f>
        <x:v>0</x:v>
      </x:c>
      <x:c r="E5" s="254" t="str">
        <x:f>IF(ABS(D5)&lt;0.01,"PASS","FAIL")</x:f>
        <x:v>PASS</x:v>
      </x:c>
      <x:c r="F5" s="213" t="str">
        <x:v>汇总表与固定资源表一致</x:v>
      </x:c>
    </x:row>
    <x:row r="6" ht="32" customHeight="1">
      <x:c r="A6" s="219" t="str">
        <x:v>按量资源月合计</x:v>
      </x:c>
      <x:c r="B6" s="222" t="n">
        <x:f>'价格总表'!D6</x:f>
        <x:v>308.00300000000004</x:v>
      </x:c>
      <x:c r="C6" s="222" t="n">
        <x:f>'按量计费'!I17</x:f>
        <x:v>308.00300000000004</x:v>
      </x:c>
      <x:c r="D6" s="222" t="n">
        <x:f>B6-C6</x:f>
        <x:v>0</x:v>
      </x:c>
      <x:c r="E6" s="255" t="str">
        <x:f>IF(ABS(D6)&lt;0.01,"PASS","FAIL")</x:f>
        <x:v>PASS</x:v>
      </x:c>
      <x:c r="F6" s="219" t="str">
        <x:v>汇总表与按量计费表一致</x:v>
      </x:c>
    </x:row>
    <x:row r="7" ht="32" customHeight="1">
      <x:c r="A7" s="219" t="str">
        <x:v>测算月支出</x:v>
      </x:c>
      <x:c r="B7" s="222" t="n">
        <x:f>'价格总表'!G6</x:f>
        <x:v>941.82</x:v>
      </x:c>
      <x:c r="C7" s="222" t="n">
        <x:f>'固定资源'!I15+'按量计费'!I17</x:f>
        <x:v>941.8163333333334</x:v>
      </x:c>
      <x:c r="D7" s="222" t="n">
        <x:f>B7-C7</x:f>
        <x:v>0.003666666666617857</x:v>
      </x:c>
      <x:c r="E7" s="255" t="str">
        <x:f>IF(ABS(D7)&lt;0.01,"PASS","FAIL")</x:f>
        <x:v>PASS</x:v>
      </x:c>
      <x:c r="F7" s="219" t="str">
        <x:v>固定 + 按量</x:v>
      </x:c>
    </x:row>
    <x:row r="8" ht="32" customHeight="1">
      <x:c r="A8" s="219" t="str">
        <x:v>测算年支出</x:v>
      </x:c>
      <x:c r="B8" s="222" t="n">
        <x:f>'价格总表'!J6</x:f>
        <x:v>11301.8</x:v>
      </x:c>
      <x:c r="C8" s="222" t="n">
        <x:f>'固定资源'!J15+'按量计费'!J17</x:f>
        <x:v>11301.795999999998</x:v>
      </x:c>
      <x:c r="D8" s="222" t="n">
        <x:f>B8-C8</x:f>
        <x:v>0.004000000000814907</x:v>
      </x:c>
      <x:c r="E8" s="255" t="str">
        <x:f>IF(ABS(D8)&lt;0.01,"PASS","FAIL")</x:f>
        <x:v>PASS</x:v>
      </x:c>
      <x:c r="F8" s="219" t="str">
        <x:v>月支出 × 12</x:v>
      </x:c>
    </x:row>
    <x:row r="9" ht="32" customHeight="1">
      <x:c r="A9" s="219" t="str">
        <x:v>总表月金额</x:v>
      </x:c>
      <x:c r="B9" s="222" t="n">
        <x:f>'价格总表'!J33</x:f>
        <x:v>941.82</x:v>
      </x:c>
      <x:c r="C9" s="222" t="n">
        <x:f>'价格总表'!G6</x:f>
        <x:v>941.82</x:v>
      </x:c>
      <x:c r="D9" s="222" t="n">
        <x:f>B9-C9</x:f>
        <x:v>0</x:v>
      </x:c>
      <x:c r="E9" s="255" t="str">
        <x:f>IF(ABS(D9)&lt;0.01,"PASS","FAIL")</x:f>
        <x:v>PASS</x:v>
      </x:c>
      <x:c r="F9" s="219" t="str">
        <x:v>全部资源价格表月合计与顶部月合计一致</x:v>
      </x:c>
    </x:row>
    <x:row r="10" ht="32" customHeight="1">
      <x:c r="A10" s="219" t="str">
        <x:v>总表年金额</x:v>
      </x:c>
      <x:c r="B10" s="222" t="n">
        <x:f>'价格总表'!K33</x:f>
        <x:v>11301.8</x:v>
      </x:c>
      <x:c r="C10" s="222" t="n">
        <x:f>'价格总表'!J6</x:f>
        <x:v>11301.8</x:v>
      </x:c>
      <x:c r="D10" s="222" t="n">
        <x:f>B10-C10</x:f>
        <x:v>0</x:v>
      </x:c>
      <x:c r="E10" s="255" t="str">
        <x:f>IF(ABS(D10)&lt;0.01,"PASS","FAIL")</x:f>
        <x:v>PASS</x:v>
      </x:c>
      <x:c r="F10" s="219" t="str">
        <x:v>全部资源价格表年合计与顶部年合计一致</x:v>
      </x:c>
    </x:row>
    <x:row r="11">
      <x:c r="A11" s="256" t="str">
        <x:v>人工复核清单</x:v>
      </x:c>
      <x:c r="B11" s="256"/>
      <x:c r="C11" s="256"/>
      <x:c r="D11" s="256"/>
      <x:c r="E11" s="256"/>
      <x:c r="F11" s="256"/>
    </x:row>
    <x:row r="12" ht="38" customHeight="1">
      <x:c r="A12" s="213" t="str">
        <x:v>1</x:v>
      </x:c>
      <x:c r="B12" s="213" t="str">
        <x:v>正式采购前在ECS价格页核对地域、可用区、实例库存与实时原价</x:v>
      </x:c>
      <x:c r="C12" s="213"/>
      <x:c r="D12" s="213"/>
      <x:c r="E12" s="213"/>
      <x:c r="F12" s="213" t="str">
        <x:v>待采购时执行</x:v>
      </x:c>
    </x:row>
    <x:row r="13" ht="38" customHeight="1">
      <x:c r="A13" s="219" t="str">
        <x:v>2</x:v>
      </x:c>
      <x:c r="B13" s="219" t="str">
        <x:v>正式采购前在RDS询价器核对mysql.n2e.medium.1与50GiB存储价格</x:v>
      </x:c>
      <x:c r="C13" s="219"/>
      <x:c r="D13" s="219"/>
      <x:c r="E13" s="219"/>
      <x:c r="F13" s="219" t="str">
        <x:v>待采购时执行</x:v>
      </x:c>
    </x:row>
    <x:row r="14" ht="38" customHeight="1">
      <x:c r="A14" s="219" t="str">
        <x:v>3</x:v>
      </x:c>
      <x:c r="B14" s="219" t="str">
        <x:v>确认AI模型仍使用qwen3.7-plus，且单次上下文处于≤256K价格档</x:v>
      </x:c>
      <x:c r="C14" s="219"/>
      <x:c r="D14" s="219"/>
      <x:c r="E14" s="219"/>
      <x:c r="F14" s="219" t="str">
        <x:v>产品/技术确认</x:v>
      </x:c>
    </x:row>
    <x:row r="15" ht="38" customHeight="1">
      <x:c r="A15" s="219" t="str">
        <x:v>4</x:v>
      </x:c>
      <x:c r="B15" s="219" t="str">
        <x:v>按月用量填入黄色单元格，按量费用将自动重算</x:v>
      </x:c>
      <x:c r="C15" s="219"/>
      <x:c r="D15" s="219"/>
      <x:c r="E15" s="219"/>
      <x:c r="F15" s="219" t="str">
        <x:v>运营每月更新</x:v>
      </x:c>
    </x:row>
    <x:row r="16" ht="38" customHeight="1">
      <x:c r="A16" s="257" t="str">
        <x:v>5</x:v>
      </x:c>
      <x:c r="B16" s="257" t="str">
        <x:v>确认ALB采用基础版，公网入口绑定5Mbps带宽，后端两台ECS仅走内网</x:v>
      </x:c>
      <x:c r="C16" s="257"/>
      <x:c r="D16" s="257"/>
      <x:c r="E16" s="257"/>
      <x:c r="F16" s="257" t="str">
        <x:v>架构确认</x:v>
      </x:c>
    </x:row>
  </x:sheetData>
  <x:mergeCells>
    <x:mergeCell ref="A1:F1"/>
    <x:mergeCell ref="A2:F2"/>
    <x:mergeCell ref="A11:F11"/>
    <x:mergeCell ref="B12:E12"/>
    <x:mergeCell ref="B13:E13"/>
    <x:mergeCell ref="B14:E14"/>
    <x:mergeCell ref="B15:E15"/>
    <x:mergeCell ref="B16:E16"/>
  </x:mergeCells>
  <x:pageMargins left="0.7" right="0.7" top="0.75" bottom="0.75" header="0.3" footer="0.3"/>
</x:worksheet>
</file>