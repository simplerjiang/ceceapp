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4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80cc6a00bd41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报价总览" sheetId="1" r:id="Ra7474287b5c44e28"/>
    <x:sheet xmlns:r="http://schemas.openxmlformats.org/officeDocument/2006/relationships" name="一期报价明细" sheetId="2" r:id="R961db2cb215146c1"/>
    <x:sheet xmlns:r="http://schemas.openxmlformats.org/officeDocument/2006/relationships" name="二期报价明细" sheetId="3" r:id="Rfa3d06040aa14ca2"/>
    <x:sheet xmlns:r="http://schemas.openxmlformats.org/officeDocument/2006/relationships" name="三期报价明细" sheetId="4" r:id="Rba2c89af72164542"/>
    <x:sheet xmlns:r="http://schemas.openxmlformats.org/officeDocument/2006/relationships" name="报价参数" sheetId="5" r:id="R7ccba6df01ce44be"/>
    <x:sheet xmlns:r="http://schemas.openxmlformats.org/officeDocument/2006/relationships" name="共同约定" sheetId="6" r:id="R6af6bf3d23a94cbd"/>
    <x:sheet xmlns:r="http://schemas.openxmlformats.org/officeDocument/2006/relationships" name="报价验算" sheetId="7" r:id="R7df9e56c79ff451e"/>
  </x:sheets>
</x:workbook>
</file>

<file path=xl/comments1.xml><?xml version="1.0" encoding="utf-8"?>
<x:comments xmlns:x="http://schemas.openxmlformats.org/spreadsheetml/2006/main">
  <x:authors>
    <x:author>tc={E9E1B099-F7C1-45E2-AC25-24C20775E220}</x:author>
    <x:author>tc={A01AADD5-2ED1-4187-84C2-BFB39C864677}</x:author>
    <x:author>tc={9AF6E4A8-71DF-44F3-BDAB-BDA39E18F0A6}</x:author>
    <x:author>tc={5640EB67-D432-414D-A08A-452A1A858484}</x:author>
    <x:author>tc={3C0EE8B1-E93F-4A0A-B476-B870E2D70F89}</x:author>
    <x:author>tc={74EE16D2-1736-4D26-8DC2-346D9FBCE42E}</x:author>
    <x:author>tc={D2383B6A-93E2-498D-8769-2C58C7604577}</x:author>
    <x:author>tc={59009357-FF49-4882-AA78-96A86E8B69E7}</x:author>
    <x:author>tc={7E89AE45-78EF-40BD-8BD9-1D8D07356B6B}</x:author>
    <x:author>tc={C6F801DA-0DAE-4A08-90F5-18AF1488DB10}</x:author>
    <x:author>tc={03B84D51-AE50-4733-9286-CE676E777F06}</x:author>
  </x:authors>
  <x:commentList>
    <x:comment ref="D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</x:commentList>
</x:comments>
</file>

<file path=xl/comments2.xml><?xml version="1.0" encoding="utf-8"?>
<x:comments xmlns:x="http://schemas.openxmlformats.org/spreadsheetml/2006/main">
  <x:authors>
    <x:author>tc={D29111E6-E37D-4318-9A6F-20DA005EFB95}</x:author>
    <x:author>tc={681CB532-5131-42A0-BB96-BF8B2E835B92}</x:author>
    <x:author>tc={20EB26FA-F274-4F20-8090-28247FB55A4A}</x:author>
    <x:author>tc={8E9DD8F6-B8A7-4686-A5F1-B3389833B674}</x:author>
    <x:author>tc={9C2B3F81-656D-4D55-AA0C-2904BEB2630E}</x:author>
    <x:author>tc={2A427DDB-8F01-4DB3-B157-A53FE2E59CA7}</x:author>
    <x:author>tc={86AA6CAF-C5FB-4234-90F1-E75BB041E0DD}</x:author>
    <x:author>tc={7B267D5C-4ABC-4A27-8453-C817A5C1BB53}</x:author>
    <x:author>tc={9F2057BF-1CCB-4838-8386-F593513D683D}</x:author>
    <x:author>tc={F718B427-A0E0-498E-9671-3EE80CBEB5B7}</x:author>
    <x:author>tc={FF362DC9-3627-435C-8928-AB47C0EF7F4F}</x:author>
  </x:authors>
  <x:commentList>
    <x:comment ref="D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</x:commentList>
</x:comments>
</file>

<file path=xl/comments3.xml><?xml version="1.0" encoding="utf-8"?>
<x:comments xmlns:x="http://schemas.openxmlformats.org/spreadsheetml/2006/main">
  <x:authors>
    <x:author>tc={29C9A57B-059D-40B5-BFE7-65EC665F1943}</x:author>
    <x:author>tc={1F0F7DDA-DB7E-4E24-B1EE-4446B987A3B1}</x:author>
    <x:author>tc={96056420-8A42-4CD6-8C39-3F8299F27ADE}</x:author>
    <x:author>tc={427E321B-804E-48D4-B5F4-9E2AE3133E0E}</x:author>
    <x:author>tc={F6025DC4-AFEE-4B6F-9243-62BA190E767F}</x:author>
    <x:author>tc={650FCC00-6CBB-4F87-BFB8-60BB9C5D9496}</x:author>
    <x:author>tc={B41C7139-C32A-4355-AB8D-955FA537A4D2}</x:author>
    <x:author>tc={8E951D90-DEDD-4F17-8E0F-14674EA69FA6}</x:author>
    <x:author>tc={DB7FE40B-F928-4A19-8023-7181C341ED2E}</x:author>
    <x:author>tc={70E73D96-DA6C-422B-B378-16B540F6450E}</x:author>
    <x:author>tc={DADB71CB-562D-43A1-9D2E-CE32B82BD841}</x:author>
  </x:authors>
  <x:commentList>
    <x:comment ref="D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  <x:comment ref="D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来源：上一版已核对的模块报价。本轮按用户要求保留金额，仅调整阶段排期和展示内容。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yyyy-mm-dd"/>
    <x:numFmt numFmtId="202" formatCode="&quot;¥&quot;#,##0.00"/>
    <x:numFmt numFmtId="203" formatCode="0&quot; 工作日&quot;"/>
    <x:numFmt numFmtId="204" formatCode="0"/>
  </x:numFmts>
  <x:fonts count="7">
    <x:font>
      <x:sz val="11"/>
      <x:name val="Carlito"/>
    </x:font>
    <x:font>
      <x:sz val="10"/>
      <x:color rgb="FF243746"/>
      <x:name val="Microsoft YaHei"/>
    </x:font>
    <x:font>
      <x:b/>
      <x:sz val="18"/>
      <x:color rgb="FFFFFFFF"/>
      <x:name val="Microsoft YaHei"/>
    </x:font>
    <x:font>
      <x:sz val="10"/>
      <x:color rgb="FF243746"/>
      <x:name val="Microsoft YaHei"/>
    </x:font>
    <x:font>
      <x:b/>
      <x:sz val="10"/>
      <x:color rgb="FFFFFFFF"/>
      <x:name val="Microsoft YaHei"/>
    </x:font>
    <x:font>
      <x:sz val="10"/>
      <x:color rgb="FF0000FF"/>
      <x:name val="Microsoft YaHei"/>
    </x:font>
    <x:font>
      <x:b/>
      <x:sz val="10"/>
      <x:color rgb="FF243746"/>
      <x:name val="Microsoft YaHei"/>
    </x:font>
  </x:fonts>
  <x:fills count="10">
    <x:fill>
      <x:patternFill patternType="none"/>
    </x:fill>
    <x:fill>
      <x:patternFill patternType="gray125"/>
    </x:fill>
    <x:fill>
      <x:patternFill patternType="solid">
        <x:fgColor rgb="FF173B57"/>
      </x:patternFill>
    </x:fill>
    <x:fill>
      <x:patternFill patternType="solid">
        <x:fgColor rgb="FFEAF2F7"/>
      </x:patternFill>
    </x:fill>
    <x:fill>
      <x:patternFill patternType="solid">
        <x:fgColor rgb="FF1F708C"/>
      </x:patternFill>
    </x:fill>
    <x:fill>
      <x:patternFill patternType="solid">
        <x:fgColor rgb="FFE2F0D9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3F7FA"/>
      </x:patternFill>
    </x:fill>
  </x:fills>
  <x:borders count="1">
    <x:border/>
  </x:borders>
  <x:cellStyleXfs count="1">
    <x:xf numFmtId="0" fontId="0" fillId="0" borderId="0"/>
  </x:cellStyleXfs>
  <x:cellXfs count="10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200" fontId="5" fillId="7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202" fontId="1" fillId="8" borderId="0" xfId="0" applyNumberFormat="1" applyFont="1" applyFill="1" applyBorder="1" applyAlignment="1">
      <x:alignment vertical="center" wrapText="1"/>
    </x:xf>
    <x:xf numFmtId="202" fontId="1" fillId="9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202" fontId="6" fillId="5" borderId="0" xfId="0" applyNumberFormat="1" applyFont="1" applyFill="1" applyBorder="1" applyAlignment="1">
      <x:alignment vertical="center" wrapText="1"/>
    </x:xf>
    <x:xf numFmtId="202" fontId="4" fillId="2" borderId="0" xfId="0" applyNumberFormat="1" applyFont="1" applyFill="1" applyBorder="1" applyAlignment="1">
      <x:alignment vertical="center" wrapText="1"/>
    </x:xf>
    <x:xf numFmtId="203" fontId="6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202" fontId="1" fillId="6" borderId="0" xfId="0" applyNumberFormat="1" applyFont="1" applyFill="1" applyBorder="1" applyAlignment="1">
      <x:alignment vertical="center" wrapText="1"/>
    </x:xf>
    <x:xf numFmtId="202" fontId="6" fillId="6" borderId="0" xfId="0" applyNumberFormat="1" applyFont="1" applyFill="1" applyBorder="1" applyAlignment="1">
      <x:alignment vertical="center" wrapText="1"/>
    </x:xf>
    <x:xf numFmtId="203" fontId="6" fillId="6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2" fontId="6" fillId="7" borderId="0" xfId="0" applyNumberFormat="1" applyFont="1" applyFill="1" applyBorder="1" applyAlignment="1">
      <x:alignment vertical="center" wrapText="1"/>
    </x:xf>
    <x:xf numFmtId="203" fontId="6" fillId="7" borderId="0" xfId="0" applyNumberFormat="1" applyFont="1" applyFill="1" applyBorder="1" applyAlignment="1">
      <x:alignment vertical="center" wrapText="1"/>
    </x:xf>
    <x:xf numFmtId="204" fontId="1" fillId="5" borderId="0" xfId="0" applyNumberFormat="1" applyFont="1" applyFill="1" applyBorder="1" applyAlignment="1">
      <x:alignment vertical="center" wrapText="1"/>
    </x:xf>
    <x:xf numFmtId="204" fontId="1" fillId="6" borderId="0" xfId="0" applyNumberFormat="1" applyFont="1" applyFill="1" applyBorder="1" applyAlignment="1">
      <x:alignment vertical="center" wrapText="1"/>
    </x:xf>
    <x:xf numFmtId="204" fontId="1" fillId="7" borderId="0" xfId="0" applyNumberFormat="1" applyFont="1" applyFill="1" applyBorder="1" applyAlignment="1">
      <x:alignment vertical="center" wrapText="1"/>
    </x:xf>
    <x:xf numFmtId="204" fontId="4" fillId="2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3" fontId="1" fillId="5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203" fontId="6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left" vertical="center" wrapText="1"/>
    </x:xf>
    <x:xf numFmtId="0" fontId="1" fillId="5" borderId="0" xfId="0" applyNumberFormat="1" applyFont="1" applyFill="1" applyBorder="1" applyAlignment="1">
      <x:alignment horizontal="left" vertical="center" wrapText="1"/>
    </x:xf>
    <x:xf numFmtId="204" fontId="1" fillId="5" borderId="0" xfId="0" applyNumberFormat="1" applyFont="1" applyFill="1" applyBorder="1" applyAlignment="1">
      <x:alignment horizontal="left" vertical="center" wrapText="1"/>
    </x:xf>
    <x:xf numFmtId="202" fontId="1" fillId="5" borderId="0" xfId="0" applyNumberFormat="1" applyFont="1" applyFill="1" applyBorder="1" applyAlignment="1">
      <x:alignment horizontal="left" vertical="center" wrapText="1"/>
    </x:xf>
    <x:xf numFmtId="0" fontId="1" fillId="6" borderId="0" xfId="0" applyNumberFormat="1" applyFont="1" applyFill="1" applyBorder="1" applyAlignment="1">
      <x:alignment horizontal="left" vertical="center" wrapText="1"/>
    </x:xf>
    <x:xf numFmtId="204" fontId="1" fillId="6" borderId="0" xfId="0" applyNumberFormat="1" applyFont="1" applyFill="1" applyBorder="1" applyAlignment="1">
      <x:alignment horizontal="left" vertical="center" wrapText="1"/>
    </x:xf>
    <x:xf numFmtId="202" fontId="1" fillId="6" borderId="0" xfId="0" applyNumberFormat="1" applyFont="1" applyFill="1" applyBorder="1" applyAlignment="1">
      <x:alignment horizontal="left" vertical="center" wrapText="1"/>
    </x:xf>
    <x:xf numFmtId="0" fontId="1" fillId="7" borderId="0" xfId="0" applyNumberFormat="1" applyFont="1" applyFill="1" applyBorder="1" applyAlignment="1">
      <x:alignment horizontal="left" vertical="center" wrapText="1"/>
    </x:xf>
    <x:xf numFmtId="204" fontId="1" fillId="7" borderId="0" xfId="0" applyNumberFormat="1" applyFont="1" applyFill="1" applyBorder="1" applyAlignment="1">
      <x:alignment horizontal="left" vertical="center" wrapText="1"/>
    </x:xf>
    <x:xf numFmtId="202" fontId="1" fillId="7" borderId="0" xfId="0" applyNumberFormat="1" applyFont="1" applyFill="1" applyBorder="1" applyAlignment="1">
      <x:alignment horizontal="left" vertical="center" wrapText="1"/>
    </x:xf>
    <x:xf numFmtId="0" fontId="4" fillId="2" borderId="0" xfId="0" applyNumberFormat="1" applyFont="1" applyFill="1" applyBorder="1" applyAlignment="1">
      <x:alignment horizontal="left" vertical="center" wrapText="1"/>
    </x:xf>
    <x:xf numFmtId="204" fontId="4" fillId="2" borderId="0" xfId="0" applyNumberFormat="1" applyFont="1" applyFill="1" applyBorder="1" applyAlignment="1">
      <x:alignment horizontal="left" vertical="center" wrapText="1"/>
    </x:xf>
    <x:xf numFmtId="202" fontId="4" fillId="2" borderId="0" xfId="0" applyNumberFormat="1" applyFont="1" applyFill="1" applyBorder="1" applyAlignment="1">
      <x:alignment horizontal="left" vertical="center" wrapText="1"/>
    </x:xf>
    <x:xf numFmtId="0" fontId="4" fillId="4" borderId="0" xfId="0" applyNumberFormat="1" applyFont="1" applyFill="1" applyBorder="1" applyAlignment="1">
      <x:alignment horizontal="right" vertical="center" wrapText="1"/>
    </x:xf>
    <x:xf numFmtId="204" fontId="1" fillId="5" borderId="0" xfId="0" applyNumberFormat="1" applyFont="1" applyFill="1" applyBorder="1" applyAlignment="1">
      <x:alignment horizontal="right" vertical="center" wrapText="1"/>
    </x:xf>
    <x:xf numFmtId="202" fontId="1" fillId="5" borderId="0" xfId="0" applyNumberFormat="1" applyFont="1" applyFill="1" applyBorder="1" applyAlignment="1">
      <x:alignment horizontal="right" vertical="center" wrapText="1"/>
    </x:xf>
    <x:xf numFmtId="204" fontId="1" fillId="6" borderId="0" xfId="0" applyNumberFormat="1" applyFont="1" applyFill="1" applyBorder="1" applyAlignment="1">
      <x:alignment horizontal="right" vertical="center" wrapText="1"/>
    </x:xf>
    <x:xf numFmtId="202" fontId="1" fillId="6" borderId="0" xfId="0" applyNumberFormat="1" applyFont="1" applyFill="1" applyBorder="1" applyAlignment="1">
      <x:alignment horizontal="right" vertical="center" wrapText="1"/>
    </x:xf>
    <x:xf numFmtId="204" fontId="1" fillId="7" borderId="0" xfId="0" applyNumberFormat="1" applyFont="1" applyFill="1" applyBorder="1" applyAlignment="1">
      <x:alignment horizontal="right" vertical="center" wrapText="1"/>
    </x:xf>
    <x:xf numFmtId="202" fontId="1" fillId="7" borderId="0" xfId="0" applyNumberFormat="1" applyFont="1" applyFill="1" applyBorder="1" applyAlignment="1">
      <x:alignment horizontal="right" vertical="center" wrapText="1"/>
    </x:xf>
    <x:xf numFmtId="204" fontId="4" fillId="2" borderId="0" xfId="0" applyNumberFormat="1" applyFont="1" applyFill="1" applyBorder="1" applyAlignment="1">
      <x:alignment horizontal="right" vertical="center" wrapText="1"/>
    </x:xf>
    <x:xf numFmtId="202" fontId="4" fillId="2" borderId="0" xfId="0" applyNumberFormat="1" applyFont="1" applyFill="1" applyBorder="1" applyAlignment="1">
      <x:alignment horizontal="right" vertical="center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202" fontId="1" fillId="8" borderId="0" xfId="0" applyNumberFormat="1" applyFont="1" applyFill="1" applyBorder="1" applyAlignment="1">
      <x:alignment horizontal="left" vertical="center" wrapText="1"/>
    </x:xf>
    <x:xf numFmtId="0" fontId="1" fillId="9" borderId="0" xfId="0" applyNumberFormat="1" applyFont="1" applyFill="1" applyBorder="1" applyAlignment="1">
      <x:alignment horizontal="left" vertical="center" wrapText="1"/>
    </x:xf>
    <x:xf numFmtId="202" fontId="1" fillId="9" borderId="0" xfId="0" applyNumberFormat="1" applyFont="1" applyFill="1" applyBorder="1" applyAlignment="1">
      <x:alignment horizontal="left" vertical="center" wrapText="1"/>
    </x:xf>
    <x:xf numFmtId="0" fontId="6" fillId="5" borderId="0" xfId="0" applyNumberFormat="1" applyFont="1" applyFill="1" applyBorder="1" applyAlignment="1">
      <x:alignment horizontal="left" vertical="center" wrapText="1"/>
    </x:xf>
    <x:xf numFmtId="202" fontId="6" fillId="5" borderId="0" xfId="0" applyNumberFormat="1" applyFont="1" applyFill="1" applyBorder="1" applyAlignment="1">
      <x:alignment horizontal="left" vertical="center" wrapText="1"/>
    </x:xf>
    <x:xf numFmtId="203" fontId="6" fillId="5" borderId="0" xfId="0" applyNumberFormat="1" applyFont="1" applyFill="1" applyBorder="1" applyAlignment="1">
      <x:alignment horizontal="left" vertical="center" wrapText="1"/>
    </x:xf>
    <x:xf numFmtId="202" fontId="1" fillId="8" borderId="0" xfId="0" applyNumberFormat="1" applyFont="1" applyFill="1" applyBorder="1" applyAlignment="1">
      <x:alignment horizontal="right" vertical="center" wrapText="1"/>
    </x:xf>
    <x:xf numFmtId="202" fontId="1" fillId="9" borderId="0" xfId="0" applyNumberFormat="1" applyFont="1" applyFill="1" applyBorder="1" applyAlignment="1">
      <x:alignment horizontal="right" vertical="center" wrapText="1"/>
    </x:xf>
    <x:xf numFmtId="202" fontId="6" fillId="5" borderId="0" xfId="0" applyNumberFormat="1" applyFont="1" applyFill="1" applyBorder="1" applyAlignment="1">
      <x:alignment horizontal="right" vertical="center" wrapText="1"/>
    </x:xf>
    <x:xf numFmtId="203" fontId="6" fillId="5" borderId="0" xfId="0" applyNumberFormat="1" applyFont="1" applyFill="1" applyBorder="1" applyAlignment="1">
      <x:alignment horizontal="right" vertical="center" wrapText="1"/>
    </x:xf>
    <x:xf numFmtId="0" fontId="6" fillId="6" borderId="0" xfId="0" applyNumberFormat="1" applyFont="1" applyFill="1" applyBorder="1" applyAlignment="1">
      <x:alignment horizontal="left" vertical="center" wrapText="1"/>
    </x:xf>
    <x:xf numFmtId="202" fontId="6" fillId="6" borderId="0" xfId="0" applyNumberFormat="1" applyFont="1" applyFill="1" applyBorder="1" applyAlignment="1">
      <x:alignment horizontal="left" vertical="center" wrapText="1"/>
    </x:xf>
    <x:xf numFmtId="203" fontId="6" fillId="6" borderId="0" xfId="0" applyNumberFormat="1" applyFont="1" applyFill="1" applyBorder="1" applyAlignment="1">
      <x:alignment horizontal="left" vertical="center" wrapText="1"/>
    </x:xf>
    <x:xf numFmtId="202" fontId="6" fillId="6" borderId="0" xfId="0" applyNumberFormat="1" applyFont="1" applyFill="1" applyBorder="1" applyAlignment="1">
      <x:alignment horizontal="right" vertical="center" wrapText="1"/>
    </x:xf>
    <x:xf numFmtId="203" fontId="6" fillId="6" borderId="0" xfId="0" applyNumberFormat="1" applyFont="1" applyFill="1" applyBorder="1" applyAlignment="1">
      <x:alignment horizontal="right" vertical="center" wrapText="1"/>
    </x:xf>
    <x:xf numFmtId="0" fontId="6" fillId="7" borderId="0" xfId="0" applyNumberFormat="1" applyFont="1" applyFill="1" applyBorder="1" applyAlignment="1">
      <x:alignment horizontal="left" vertical="center" wrapText="1"/>
    </x:xf>
    <x:xf numFmtId="202" fontId="6" fillId="7" borderId="0" xfId="0" applyNumberFormat="1" applyFont="1" applyFill="1" applyBorder="1" applyAlignment="1">
      <x:alignment horizontal="left" vertical="center" wrapText="1"/>
    </x:xf>
    <x:xf numFmtId="203" fontId="6" fillId="7" borderId="0" xfId="0" applyNumberFormat="1" applyFont="1" applyFill="1" applyBorder="1" applyAlignment="1">
      <x:alignment horizontal="left" vertical="center" wrapText="1"/>
    </x:xf>
    <x:xf numFmtId="202" fontId="6" fillId="7" borderId="0" xfId="0" applyNumberFormat="1" applyFont="1" applyFill="1" applyBorder="1" applyAlignment="1">
      <x:alignment horizontal="right" vertical="center" wrapText="1"/>
    </x:xf>
    <x:xf numFmtId="203" fontId="6" fillId="7" borderId="0" xfId="0" applyNumberFormat="1" applyFont="1" applyFill="1" applyBorder="1" applyAlignment="1">
      <x:alignment horizontal="right" vertical="center" wrapText="1"/>
    </x:xf>
    <x:xf numFmtId="203" fontId="1" fillId="5" borderId="0" xfId="0" applyNumberFormat="1" applyFont="1" applyFill="1" applyBorder="1" applyAlignment="1">
      <x:alignment horizontal="left" vertical="center" wrapText="1"/>
    </x:xf>
    <x:xf numFmtId="0" fontId="6" fillId="3" borderId="0" xfId="0" applyNumberFormat="1" applyFont="1" applyFill="1" applyBorder="1" applyAlignment="1">
      <x:alignment horizontal="left" vertical="center" wrapText="1"/>
    </x:xf>
    <x:xf numFmtId="203" fontId="6" fillId="3" borderId="0" xfId="0" applyNumberFormat="1" applyFont="1" applyFill="1" applyBorder="1" applyAlignment="1">
      <x:alignment horizontal="left" vertical="center" wrapText="1"/>
    </x:xf>
    <x:xf numFmtId="203" fontId="1" fillId="5" borderId="0" xfId="0" applyNumberFormat="1" applyFont="1" applyFill="1" applyBorder="1" applyAlignment="1">
      <x:alignment horizontal="right" vertical="center" wrapText="1"/>
    </x:xf>
    <x:xf numFmtId="203" fontId="6" fillId="3" borderId="0" xfId="0" applyNumberFormat="1" applyFont="1" applyFill="1" applyBorder="1" applyAlignment="1">
      <x:alignment horizontal="right" vertical="center" wrapText="1"/>
    </x:xf>
    <x:xf numFmtId="0" fontId="1" fillId="5" borderId="0" xfId="0" applyNumberFormat="1" applyFont="1" applyFill="1" applyBorder="1" applyAlignment="1">
      <x:alignment horizontal="right" vertical="center" wrapText="1"/>
    </x:xf>
    <x:xf numFmtId="0" fontId="1" fillId="6" borderId="0" xfId="0" applyNumberFormat="1" applyFont="1" applyFill="1" applyBorder="1" applyAlignment="1">
      <x:alignment horizontal="right" vertical="center" wrapText="1"/>
    </x:xf>
    <x:xf numFmtId="0" fontId="1" fillId="7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left" vertical="center" wrapText="1"/>
    </x:xf>
    <x:xf numFmtId="200" fontId="5" fillId="7" borderId="0" xfId="0" applyNumberFormat="1" applyFont="1" applyFill="1" applyBorder="1" applyAlignment="1">
      <x:alignment horizontal="left" vertical="center" wrapText="1"/>
    </x:xf>
    <x:xf numFmtId="0" fontId="5" fillId="7" borderId="0" xfId="0" applyNumberFormat="1" applyFont="1" applyFill="1" applyBorder="1" applyAlignment="1">
      <x:alignment horizontal="left" vertical="center" wrapText="1"/>
    </x:xf>
    <x:xf numFmtId="201" fontId="1" fillId="0" borderId="0" xfId="0" applyNumberFormat="1" applyFont="1" applyFill="1" applyBorder="1" applyAlignment="1">
      <x:alignment horizontal="left"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  <x:dxfs count="1"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5cdf177b634ecb" /><Relationship Type="http://schemas.openxmlformats.org/officeDocument/2006/relationships/theme" Target="/xl/theme/theme1.xml" Id="R9810a223401f4892" /><Relationship Type="http://schemas.openxmlformats.org/officeDocument/2006/relationships/sharedStrings" Target="/xl/sharedStrings.xml" Id="R065e47180b084773" /><Relationship Type="http://schemas.openxmlformats.org/officeDocument/2006/relationships/worksheet" Target="/xl/worksheets/sheet1.xml" Id="Ra7474287b5c44e28" /><Relationship Type="http://schemas.openxmlformats.org/officeDocument/2006/relationships/worksheet" Target="/xl/worksheets/sheet2.xml" Id="R961db2cb215146c1" /><Relationship Type="http://schemas.openxmlformats.org/officeDocument/2006/relationships/worksheet" Target="/xl/worksheets/sheet3.xml" Id="Rfa3d06040aa14ca2" /><Relationship Type="http://schemas.openxmlformats.org/officeDocument/2006/relationships/worksheet" Target="/xl/worksheets/sheet4.xml" Id="Rba2c89af72164542" /><Relationship Type="http://schemas.openxmlformats.org/officeDocument/2006/relationships/worksheet" Target="/xl/worksheets/sheet5.xml" Id="R7ccba6df01ce44be" /><Relationship Type="http://schemas.openxmlformats.org/officeDocument/2006/relationships/worksheet" Target="/xl/worksheets/sheet6.xml" Id="R6af6bf3d23a94cbd" /><Relationship Type="http://schemas.openxmlformats.org/officeDocument/2006/relationships/worksheet" Target="/xl/worksheets/sheet7.xml" Id="R7df9e56c79ff451e" /><Relationship Type="http://schemas.microsoft.com/office/2017/10/relationships/person" Target="/xl/persons/person.xml" Id="R4371dfae01574ae4" /></Relationships>
</file>

<file path=xl/persons/person.xml><?xml version="1.0" encoding="utf-8"?>
<xltc:personList xmlns:xltc="http://schemas.microsoft.com/office/spreadsheetml/2018/threadedcomments">
  <xltc:person displayName="User" id="{80286273-C82A-498F-8CAA-16D065683E6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D5" dT="2026-09-03T07:26:32.564" personId="{80286273-C82A-498F-8CAA-16D065683E60}" id="{E9E1B099-F7C1-45E2-AC25-24C20775E220}">
    <xltc:text>来源：上一版已核对的模块报价。本轮按用户要求保留金额，仅调整阶段排期和展示内容。</xltc:text>
  </xltc:threadedComment>
  <xltc:threadedComment ref="D6" dT="2026-09-03T07:26:32.565" personId="{80286273-C82A-498F-8CAA-16D065683E60}" id="{A01AADD5-2ED1-4187-84C2-BFB39C864677}">
    <xltc:text>来源：上一版已核对的模块报价。本轮按用户要求保留金额，仅调整阶段排期和展示内容。</xltc:text>
  </xltc:threadedComment>
  <xltc:threadedComment ref="D7" dT="2026-09-03T07:26:32.565" personId="{80286273-C82A-498F-8CAA-16D065683E60}" id="{9AF6E4A8-71DF-44F3-BDAB-BDA39E18F0A6}">
    <xltc:text>来源：上一版已核对的模块报价。本轮按用户要求保留金额，仅调整阶段排期和展示内容。</xltc:text>
  </xltc:threadedComment>
  <xltc:threadedComment ref="D8" dT="2026-09-03T07:26:32.565" personId="{80286273-C82A-498F-8CAA-16D065683E60}" id="{5640EB67-D432-414D-A08A-452A1A858484}">
    <xltc:text>来源：上一版已核对的模块报价。本轮按用户要求保留金额，仅调整阶段排期和展示内容。</xltc:text>
  </xltc:threadedComment>
  <xltc:threadedComment ref="D9" dT="2026-09-03T07:26:32.566" personId="{80286273-C82A-498F-8CAA-16D065683E60}" id="{3C0EE8B1-E93F-4A0A-B476-B870E2D70F89}">
    <xltc:text>来源：上一版已核对的模块报价。本轮按用户要求保留金额，仅调整阶段排期和展示内容。</xltc:text>
  </xltc:threadedComment>
  <xltc:threadedComment ref="D10" dT="2026-09-03T07:26:32.566" personId="{80286273-C82A-498F-8CAA-16D065683E60}" id="{74EE16D2-1736-4D26-8DC2-346D9FBCE42E}">
    <xltc:text>来源：上一版已核对的模块报价。本轮按用户要求保留金额，仅调整阶段排期和展示内容。</xltc:text>
  </xltc:threadedComment>
  <xltc:threadedComment ref="D11" dT="2026-09-03T07:26:32.566" personId="{80286273-C82A-498F-8CAA-16D065683E60}" id="{D2383B6A-93E2-498D-8769-2C58C7604577}">
    <xltc:text>来源：上一版已核对的模块报价。本轮按用户要求保留金额，仅调整阶段排期和展示内容。</xltc:text>
  </xltc:threadedComment>
  <xltc:threadedComment ref="D12" dT="2026-09-03T07:26:32.566" personId="{80286273-C82A-498F-8CAA-16D065683E60}" id="{59009357-FF49-4882-AA78-96A86E8B69E7}">
    <xltc:text>来源：上一版已核对的模块报价。本轮按用户要求保留金额，仅调整阶段排期和展示内容。</xltc:text>
  </xltc:threadedComment>
  <xltc:threadedComment ref="D13" dT="2026-09-03T07:26:32.566" personId="{80286273-C82A-498F-8CAA-16D065683E60}" id="{7E89AE45-78EF-40BD-8BD9-1D8D07356B6B}">
    <xltc:text>来源：上一版已核对的模块报价。本轮按用户要求保留金额，仅调整阶段排期和展示内容。</xltc:text>
  </xltc:threadedComment>
  <xltc:threadedComment ref="D14" dT="2026-09-03T07:26:32.567" personId="{80286273-C82A-498F-8CAA-16D065683E60}" id="{C6F801DA-0DAE-4A08-90F5-18AF1488DB10}">
    <xltc:text>来源：上一版已核对的模块报价。本轮按用户要求保留金额，仅调整阶段排期和展示内容。</xltc:text>
  </xltc:threadedComment>
  <xltc:threadedComment ref="D15" dT="2026-09-03T07:26:32.567" personId="{80286273-C82A-498F-8CAA-16D065683E60}" id="{03B84D51-AE50-4733-9286-CE676E777F06}">
    <xltc:text>来源：上一版已核对的模块报价。本轮按用户要求保留金额，仅调整阶段排期和展示内容。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D5" dT="2026-09-03T07:26:32.577" personId="{80286273-C82A-498F-8CAA-16D065683E60}" id="{D29111E6-E37D-4318-9A6F-20DA005EFB95}">
    <xltc:text>来源：上一版已核对的模块报价。本轮按用户要求保留金额，仅调整阶段排期和展示内容。</xltc:text>
  </xltc:threadedComment>
  <xltc:threadedComment ref="D6" dT="2026-09-03T07:26:32.577" personId="{80286273-C82A-498F-8CAA-16D065683E60}" id="{681CB532-5131-42A0-BB96-BF8B2E835B92}">
    <xltc:text>来源：上一版已核对的模块报价。本轮按用户要求保留金额，仅调整阶段排期和展示内容。</xltc:text>
  </xltc:threadedComment>
  <xltc:threadedComment ref="D7" dT="2026-09-03T07:26:32.577" personId="{80286273-C82A-498F-8CAA-16D065683E60}" id="{20EB26FA-F274-4F20-8090-28247FB55A4A}">
    <xltc:text>来源：上一版已核对的模块报价。本轮按用户要求保留金额，仅调整阶段排期和展示内容。</xltc:text>
  </xltc:threadedComment>
  <xltc:threadedComment ref="D8" dT="2026-09-03T07:26:32.577" personId="{80286273-C82A-498F-8CAA-16D065683E60}" id="{8E9DD8F6-B8A7-4686-A5F1-B3389833B674}">
    <xltc:text>来源：上一版已核对的模块报价。本轮按用户要求保留金额，仅调整阶段排期和展示内容。</xltc:text>
  </xltc:threadedComment>
  <xltc:threadedComment ref="D9" dT="2026-09-03T07:26:32.578" personId="{80286273-C82A-498F-8CAA-16D065683E60}" id="{9C2B3F81-656D-4D55-AA0C-2904BEB2630E}">
    <xltc:text>来源：上一版已核对的模块报价。本轮按用户要求保留金额，仅调整阶段排期和展示内容。</xltc:text>
  </xltc:threadedComment>
  <xltc:threadedComment ref="D10" dT="2026-09-03T07:26:32.578" personId="{80286273-C82A-498F-8CAA-16D065683E60}" id="{2A427DDB-8F01-4DB3-B157-A53FE2E59CA7}">
    <xltc:text>来源：上一版已核对的模块报价。本轮按用户要求保留金额，仅调整阶段排期和展示内容。</xltc:text>
  </xltc:threadedComment>
  <xltc:threadedComment ref="D11" dT="2026-09-03T07:26:32.578" personId="{80286273-C82A-498F-8CAA-16D065683E60}" id="{86AA6CAF-C5FB-4234-90F1-E75BB041E0DD}">
    <xltc:text>来源：上一版已核对的模块报价。本轮按用户要求保留金额，仅调整阶段排期和展示内容。</xltc:text>
  </xltc:threadedComment>
  <xltc:threadedComment ref="D12" dT="2026-09-03T07:26:32.578" personId="{80286273-C82A-498F-8CAA-16D065683E60}" id="{7B267D5C-4ABC-4A27-8453-C817A5C1BB53}">
    <xltc:text>来源：上一版已核对的模块报价。本轮按用户要求保留金额，仅调整阶段排期和展示内容。</xltc:text>
  </xltc:threadedComment>
  <xltc:threadedComment ref="D13" dT="2026-09-03T07:26:32.578" personId="{80286273-C82A-498F-8CAA-16D065683E60}" id="{9F2057BF-1CCB-4838-8386-F593513D683D}">
    <xltc:text>来源：上一版已核对的模块报价。本轮按用户要求保留金额，仅调整阶段排期和展示内容。</xltc:text>
  </xltc:threadedComment>
  <xltc:threadedComment ref="D14" dT="2026-09-03T07:26:32.578" personId="{80286273-C82A-498F-8CAA-16D065683E60}" id="{F718B427-A0E0-498E-9671-3EE80CBEB5B7}">
    <xltc:text>来源：上一版已核对的模块报价。本轮按用户要求保留金额，仅调整阶段排期和展示内容。</xltc:text>
  </xltc:threadedComment>
  <xltc:threadedComment ref="D15" dT="2026-09-03T07:26:32.579" personId="{80286273-C82A-498F-8CAA-16D065683E60}" id="{FF362DC9-3627-435C-8928-AB47C0EF7F4F}">
    <xltc:text>来源：上一版已核对的模块报价。本轮按用户要求保留金额，仅调整阶段排期和展示内容。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D5" dT="2026-09-03T07:26:32.59" personId="{80286273-C82A-498F-8CAA-16D065683E60}" id="{29C9A57B-059D-40B5-BFE7-65EC665F1943}">
    <xltc:text>来源：上一版已核对的模块报价。本轮按用户要求保留金额，仅调整阶段排期和展示内容。</xltc:text>
  </xltc:threadedComment>
  <xltc:threadedComment ref="D6" dT="2026-09-03T07:26:32.591" personId="{80286273-C82A-498F-8CAA-16D065683E60}" id="{1F0F7DDA-DB7E-4E24-B1EE-4446B987A3B1}">
    <xltc:text>来源：上一版已核对的模块报价。本轮按用户要求保留金额，仅调整阶段排期和展示内容。</xltc:text>
  </xltc:threadedComment>
  <xltc:threadedComment ref="D7" dT="2026-09-03T07:26:32.591" personId="{80286273-C82A-498F-8CAA-16D065683E60}" id="{96056420-8A42-4CD6-8C39-3F8299F27ADE}">
    <xltc:text>来源：上一版已核对的模块报价。本轮按用户要求保留金额，仅调整阶段排期和展示内容。</xltc:text>
  </xltc:threadedComment>
  <xltc:threadedComment ref="D8" dT="2026-09-03T07:26:32.591" personId="{80286273-C82A-498F-8CAA-16D065683E60}" id="{427E321B-804E-48D4-B5F4-9E2AE3133E0E}">
    <xltc:text>来源：上一版已核对的模块报价。本轮按用户要求保留金额，仅调整阶段排期和展示内容。</xltc:text>
  </xltc:threadedComment>
  <xltc:threadedComment ref="D9" dT="2026-09-03T07:26:32.592" personId="{80286273-C82A-498F-8CAA-16D065683E60}" id="{F6025DC4-AFEE-4B6F-9243-62BA190E767F}">
    <xltc:text>来源：上一版已核对的模块报价。本轮按用户要求保留金额，仅调整阶段排期和展示内容。</xltc:text>
  </xltc:threadedComment>
  <xltc:threadedComment ref="D10" dT="2026-09-03T07:26:32.592" personId="{80286273-C82A-498F-8CAA-16D065683E60}" id="{650FCC00-6CBB-4F87-BFB8-60BB9C5D9496}">
    <xltc:text>来源：上一版已核对的模块报价。本轮按用户要求保留金额，仅调整阶段排期和展示内容。</xltc:text>
  </xltc:threadedComment>
  <xltc:threadedComment ref="D11" dT="2026-09-03T07:26:32.593" personId="{80286273-C82A-498F-8CAA-16D065683E60}" id="{B41C7139-C32A-4355-AB8D-955FA537A4D2}">
    <xltc:text>来源：上一版已核对的模块报价。本轮按用户要求保留金额，仅调整阶段排期和展示内容。</xltc:text>
  </xltc:threadedComment>
  <xltc:threadedComment ref="D12" dT="2026-09-03T07:26:32.593" personId="{80286273-C82A-498F-8CAA-16D065683E60}" id="{8E951D90-DEDD-4F17-8E0F-14674EA69FA6}">
    <xltc:text>来源：上一版已核对的模块报价。本轮按用户要求保留金额，仅调整阶段排期和展示内容。</xltc:text>
  </xltc:threadedComment>
  <xltc:threadedComment ref="D13" dT="2026-09-03T07:26:32.594" personId="{80286273-C82A-498F-8CAA-16D065683E60}" id="{DB7FE40B-F928-4A19-8023-7181C341ED2E}">
    <xltc:text>来源：上一版已核对的模块报价。本轮按用户要求保留金额，仅调整阶段排期和展示内容。</xltc:text>
  </xltc:threadedComment>
  <xltc:threadedComment ref="D14" dT="2026-09-03T07:26:32.594" personId="{80286273-C82A-498F-8CAA-16D065683E60}" id="{70E73D96-DA6C-422B-B378-16B540F6450E}">
    <xltc:text>来源：上一版已核对的模块报价。本轮按用户要求保留金额，仅调整阶段排期和展示内容。</xltc:text>
  </xltc:threadedComment>
  <xltc:threadedComment ref="D15" dT="2026-09-03T07:26:32.594" personId="{80286273-C82A-498F-8CAA-16D065683E60}" id="{DADB71CB-562D-43A1-9D2E-CE32B82BD841}">
    <xltc:text>来源：上一版已核对的模块报价。本轮按用户要求保留金额，仅调整阶段排期和展示内容。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d07a266ec59440cb" /><Relationship Type="http://schemas.openxmlformats.org/officeDocument/2006/relationships/vmlDrawing" Target="/xl/drawings/vmldrawing.vml" Id="Rab6bc78d7e774af8" /><Relationship Type="http://schemas.microsoft.com/office/2017/10/relationships/threadedComment" Target="/xl/threadedcomments/threadedcomment.xml" Id="R8c46445a9d5744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38c8e9a068434d7a" /><Relationship Type="http://schemas.openxmlformats.org/officeDocument/2006/relationships/vmlDrawing" Target="/xl/drawings/vmldrawing2.vml" Id="Re183d6972f8945ee" /><Relationship Type="http://schemas.microsoft.com/office/2017/10/relationships/threadedComment" Target="/xl/threadedcomments/threadedcomment2.xml" Id="R88951df80d7846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3.xml" Id="R0351e5057c904401" /><Relationship Type="http://schemas.openxmlformats.org/officeDocument/2006/relationships/vmlDrawing" Target="/xl/drawings/vmldrawing3.vml" Id="R36c45d924d7d44e7" /><Relationship Type="http://schemas.microsoft.com/office/2017/10/relationships/threadedComment" Target="/xl/threadedcomments/threadedcomment3.xml" Id="R2bcfde7a01a249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880000114440918" hidden="0" customWidth="1"/>
    <x:col min="2" max="2" width="62.5" hidden="0" customWidth="1"/>
    <x:col min="3" max="3" width="20.6299991607666" hidden="0" customWidth="1"/>
    <x:col min="4" max="4" width="22.5" hidden="0" customWidth="1"/>
    <x:col min="5" max="5" width="22.5" hidden="0" customWidth="1"/>
  </x:cols>
  <x:sheetData>
    <x:row r="1" ht="42" customHeight="1">
      <x:c r="A1" s="5" t="str">
        <x:v>三期软件开发 · 客户报价单</x:v>
      </x:c>
      <x:c r="B1" s="5"/>
      <x:c r="C1" s="5"/>
      <x:c r="D1" s="5"/>
      <x:c r="E1" s="5"/>
    </x:row>
    <x:row r="2" ht="48" customHeight="1">
      <x:c r="A2" s="7" t="str">
        <x:v>小程序＋Flutter App＋管理后台｜三人全栈兼QA｜每期工作日增加10，报价保持不变</x:v>
      </x:c>
      <x:c r="B2" s="7"/>
      <x:c r="C2" s="7"/>
      <x:c r="D2" s="7"/>
      <x:c r="E2" s="7"/>
    </x:row>
    <x:row r="3" ht="38" customHeight="1">
      <x:c r="A3" s="3" t="str">
        <x:f>"客户："&amp;'报价参数'!B11&amp;"　报价单位："&amp;'报价参数'!B12&amp;"　日期："&amp;TEXT('报价参数'!B13,"yyyy-mm-dd")&amp;"　版本："&amp;'报价参数'!B14</x:f>
        <x:v>客户：待填写　报价单位：待填写　日期：2026-09-03　版本：V1.1 · 客户报价</x:v>
      </x:c>
      <x:c r="B3" s="3"/>
      <x:c r="C3" s="3"/>
      <x:c r="D3" s="3"/>
      <x:c r="E3" s="3"/>
    </x:row>
    <x:row r="4" ht="34" customHeight="1">
      <x:c r="A4" s="42" t="str">
        <x:v>阶段</x:v>
      </x:c>
      <x:c r="B4" s="42" t="str">
        <x:v>本期报价范围</x:v>
      </x:c>
      <x:c r="C4" s="55" t="str">
        <x:v>团队工作日</x:v>
      </x:c>
      <x:c r="D4" s="55" t="str">
        <x:v>未税金额</x:v>
      </x:c>
      <x:c r="E4" s="55" t="str">
        <x:v>含税金额</x:v>
      </x:c>
    </x:row>
    <x:row r="5" ht="88" customHeight="1">
      <x:c r="A5" s="43" t="str">
        <x:v>一期</x:v>
      </x:c>
      <x:c r="B5" s="43" t="str">
        <x:v>四类测算、个性化解读与内容阅读；登录/档案、基础会员/支付、首页及后台</x:v>
      </x:c>
      <x:c r="C5" s="56" t="n">
        <x:f>'一期报价明细'!D19</x:f>
        <x:v>34</x:v>
      </x:c>
      <x:c r="D5" s="57" t="n">
        <x:f>'一期报价明细'!D18</x:f>
        <x:v>14400</x:v>
      </x:c>
      <x:c r="E5" s="57" t="str">
        <x:f>'一期报价明细'!D20</x:f>
        <x:v>待确认税口径</x:v>
      </x:c>
    </x:row>
    <x:row r="6" ht="88" customHeight="1">
      <x:c r="A6" s="46" t="str">
        <x:v>二期</x:v>
      </x:c>
      <x:c r="B6" s="46" t="str">
        <x:v>AI问答/深度解读、社区/小组、智能客服、私信/匹配、基础优惠券与后台</x:v>
      </x:c>
      <x:c r="C6" s="58" t="n">
        <x:f>'二期报价明细'!D19</x:f>
        <x:v>34</x:v>
      </x:c>
      <x:c r="D6" s="59" t="n">
        <x:f>'二期报价明细'!D18</x:f>
        <x:v>14300</x:v>
      </x:c>
      <x:c r="E6" s="59" t="str">
        <x:f>'二期报价明细'!D20</x:f>
        <x:v>待确认税口径</x:v>
      </x:c>
    </x:row>
    <x:row r="7" ht="100" customHeight="1">
      <x:c r="A7" s="49" t="str">
        <x:v>三期</x:v>
      </x:c>
      <x:c r="B7" s="49" t="str">
        <x:v>达人/预约、1v1语音、多人房/麦位、通话计时、售后/人工结算与巡查；同一App／小程序内达人专用入口与界面</x:v>
      </x:c>
      <x:c r="C7" s="60" t="n">
        <x:f>'三期报价明细'!D19</x:f>
        <x:v>39</x:v>
      </x:c>
      <x:c r="D7" s="61" t="n">
        <x:f>'三期报价明细'!D18</x:f>
        <x:v>17000</x:v>
      </x:c>
      <x:c r="E7" s="61" t="str">
        <x:f>'三期报价明细'!D20</x:f>
        <x:v>待确认税口径</x:v>
      </x:c>
    </x:row>
    <x:row r="8" ht="48" customHeight="1">
      <x:c r="A8" s="52" t="str">
        <x:v>合计</x:v>
      </x:c>
      <x:c r="B8" s="52" t="str">
        <x:v>三期顺序交付；含QA、双端适配及风险预留</x:v>
      </x:c>
      <x:c r="C8" s="62" t="n">
        <x:f>SUM(C5:C7)</x:f>
        <x:v>107</x:v>
      </x:c>
      <x:c r="D8" s="63" t="n">
        <x:f>SUM(D5:D7)</x:f>
        <x:v>45700</x:v>
      </x:c>
      <x:c r="E8" s="63" t="str">
        <x:f>IF(COUNT('报价参数'!B10)=0,"待确认税口径",SUM(E5:E7))</x:f>
        <x:v>待确认税口径</x:v>
      </x:c>
    </x:row>
    <x:row r="9" ht="38" customHeight="1">
      <x:c r="A9" s="3"/>
      <x:c r="B9" s="3"/>
      <x:c r="C9" s="3"/>
      <x:c r="D9" s="3"/>
      <x:c r="E9" s="3"/>
    </x:row>
    <x:row r="10" ht="50" customHeight="1">
      <x:c r="A10" s="16"/>
      <x:c r="B10" s="16"/>
      <x:c r="C10" s="16"/>
      <x:c r="D10" s="16"/>
      <x:c r="E10" s="16"/>
    </x:row>
    <x:row r="11" ht="50" customHeight="1">
      <x:c r="A11" s="17" t="str">
        <x:v>报价口径</x:v>
      </x:c>
      <x:c r="B11" s="17" t="str">
        <x:v>开发金额保持原报价，暂按未税；税率确认后自动计算含税金额，可选增项不计入基本总价。</x:v>
      </x:c>
      <x:c r="C11" s="17"/>
      <x:c r="D11" s="17"/>
      <x:c r="E11" s="17"/>
    </x:row>
    <x:row r="12" ht="50" customHeight="1">
      <x:c r="A12" s="16" t="str">
        <x:v>AI开发前提</x:v>
      </x:c>
      <x:c r="B12" s="16" t="str">
        <x:v>复用成熟组件/接口；人工负责代码审阅、算法核对、支付对账与音视频实机验收。</x:v>
      </x:c>
      <x:c r="C12" s="16"/>
      <x:c r="D12" s="16"/>
      <x:c r="E12" s="16"/>
    </x:row>
    <x:row r="13" ht="50" customHeight="1">
      <x:c r="A13" s="17" t="str">
        <x:v>跨端前提</x:v>
      </x:c>
      <x:c r="B13" s="17" t="str">
        <x:v>Flutter App与微信小程序的适配路线须先验证，不承诺直接编译或全部插件零修改复用。</x:v>
      </x:c>
      <x:c r="C13" s="17"/>
      <x:c r="D13" s="17"/>
      <x:c r="E13" s="17"/>
    </x:row>
    <x:row r="14" ht="50" customHeight="1">
      <x:c r="A14" s="16" t="str">
        <x:v>运行费用另计</x:v>
      </x:c>
      <x:c r="B14" s="16" t="str">
        <x:v>云服务器、AI/RTC/短信/IM服务用量、商业SDK/算法授权等另付；明确无回放。</x:v>
      </x:c>
      <x:c r="C14" s="16"/>
      <x:c r="D14" s="16"/>
      <x:c r="E14" s="16"/>
    </x:row>
    <x:row r="15" ht="64" customHeight="1">
      <x:c r="A15" s="17" t="str">
        <x:v>提交客户前</x:v>
      </x:c>
      <x:c r="B15" s="17" t="str">
        <x:v>确认客户/报价方、税口径、算法素材及支付/RTC准入。三期已含同一App／小程序达人专用入口与界面，利用新增排期，不另加价。</x:v>
      </x:c>
      <x:c r="C15" s="17"/>
      <x:c r="D15" s="17"/>
      <x:c r="E15" s="17"/>
    </x:row>
  </x:sheetData>
  <x:mergeCells>
    <x:mergeCell ref="A1:E1"/>
    <x:mergeCell ref="A2:E2"/>
    <x:mergeCell ref="A3:E3"/>
    <x:mergeCell ref="B10:E10"/>
    <x:mergeCell ref="B11:E11"/>
    <x:mergeCell ref="B12:E12"/>
    <x:mergeCell ref="B13:E13"/>
    <x:mergeCell ref="B14:E14"/>
    <x:mergeCell ref="B15:E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6.25" hidden="0" customWidth="1"/>
    <x:col min="3" max="3" width="48.75" hidden="0" customWidth="1"/>
    <x:col min="4" max="4" width="18.75" hidden="0" customWidth="1"/>
    <x:col min="5" max="5" width="22.5" hidden="0" customWidth="1"/>
    <x:col min="6" max="6" width="57.5" hidden="0" customWidth="1"/>
  </x:cols>
  <x:sheetData>
    <x:row r="1" ht="42" customHeight="1">
      <x:c r="A1" s="5" t="str">
        <x:v>一期 · 功能与报价</x:v>
      </x:c>
      <x:c r="B1" s="5"/>
      <x:c r="C1" s="5"/>
      <x:c r="D1" s="5"/>
      <x:c r="E1" s="5"/>
      <x:c r="F1" s="5"/>
    </x:row>
    <x:row r="2" ht="48" customHeight="1">
      <x:c r="A2" s="7" t="str">
        <x:v>四类测算、个性化解读与内容阅读；登录/档案、基础会员/支付、首页及后台；含双端适配、QA和风险预留。</x:v>
      </x:c>
      <x:c r="B2" s="7"/>
      <x:c r="C2" s="7"/>
      <x:c r="D2" s="7"/>
      <x:c r="E2" s="7"/>
      <x:c r="F2" s="7"/>
    </x:row>
    <x:row r="3" ht="38" customHeight="1">
      <x:c r="A3" s="3"/>
      <x:c r="B3" s="3"/>
      <x:c r="C3" s="3"/>
      <x:c r="D3" s="3"/>
      <x:c r="E3" s="3"/>
      <x:c r="F3" s="3"/>
    </x:row>
    <x:row r="4" ht="34" customHeight="1">
      <x:c r="A4" s="42" t="str">
        <x:v>编号</x:v>
      </x:c>
      <x:c r="B4" s="42" t="str">
        <x:v>功能模块</x:v>
      </x:c>
      <x:c r="C4" s="42" t="str">
        <x:v>交付范围</x:v>
      </x:c>
      <x:c r="D4" s="55" t="str">
        <x:v>未税金额</x:v>
      </x:c>
      <x:c r="E4" s="42" t="str">
        <x:v>依赖</x:v>
      </x:c>
      <x:c r="F4" s="42" t="str">
        <x:v>估算前提 / 来源</x:v>
      </x:c>
    </x:row>
    <x:row r="5" ht="76" customHeight="1">
      <x:c r="A5" s="64" t="str">
        <x:v>Q1-01</x:v>
      </x:c>
      <x:c r="B5" s="64" t="str">
        <x:v>需求收敛与工程基础</x:v>
      </x:c>
      <x:c r="C5" s="64" t="str">
        <x:v>页面流程确认、复用组件/后台基础、项目与数据模型搭建</x:v>
      </x:c>
      <x:c r="D5" s="71" t="n">
        <x:v>700</x:v>
      </x:c>
      <x:c r="E5" s="64" t="str">
        <x:v>无</x:v>
      </x:c>
      <x:c r="F5" s="64" t="str">
        <x:v>TASK-101/106；基于已确认设计方向，不含多轮视觉重设计</x:v>
      </x:c>
    </x:row>
    <x:row r="6" ht="76" customHeight="1">
      <x:c r="A6" s="66" t="str">
        <x:v>Q1-02</x:v>
      </x:c>
      <x:c r="B6" s="66" t="str">
        <x:v>登录、个人资料与档案</x:v>
      </x:c>
      <x:c r="C6" s="66" t="str">
        <x:v>验证码登录、会话、出生资料、多档案、编辑/删除/授权</x:v>
      </x:c>
      <x:c r="D6" s="72" t="n">
        <x:v>1000</x:v>
      </x:c>
      <x:c r="E6" s="66" t="str">
        <x:v>Q1-01</x:v>
      </x:c>
      <x:c r="F6" s="66" t="str">
        <x:v>TASK-101/103；复用成熟认证组件；默认一种登录渠道，基础心情记录随档案</x:v>
      </x:c>
    </x:row>
    <x:row r="7" ht="76" customHeight="1">
      <x:c r="A7" s="64" t="str">
        <x:v>Q1-03</x:v>
      </x:c>
      <x:c r="B7" s="64" t="str">
        <x:v>人格测评</x:v>
      </x:c>
      <x:c r="C7" s="64" t="str">
        <x:v>题库展示、量表作答、进度、计分、人格结果与报告</x:v>
      </x:c>
      <x:c r="D7" s="71" t="n">
        <x:v>800</x:v>
      </x:c>
      <x:c r="E7" s="64" t="str">
        <x:v>Q1-02</x:v>
      </x:c>
      <x:c r="F7" s="64" t="str">
        <x:v>TASK-102；一期一个已确认量表；客户提供题目、计分和结果规则，不把INE等同MBTI</x:v>
      </x:c>
    </x:row>
    <x:row r="8" ht="76" customHeight="1">
      <x:c r="A8" s="66" t="str">
        <x:v>Q1-04</x:v>
      </x:c>
      <x:c r="B8" s="66" t="str">
        <x:v>星座与星图</x:v>
      </x:c>
      <x:c r="C8" s="66" t="str">
        <x:v>出生资料接入计算、星体/宫位/相位基础星图、星座标签与名片</x:v>
      </x:c>
      <x:c r="D8" s="72" t="n">
        <x:v>1500</x:v>
      </x:c>
      <x:c r="E8" s="66" t="str">
        <x:v>Q1-02</x:v>
      </x:c>
      <x:c r="F8" s="66" t="str">
        <x:v>TASK-102；可用算法库/API；本命盘基础展示，不含合盘/行运盘、复杂缩放交互或专利算法自研</x:v>
      </x:c>
    </x:row>
    <x:row r="9" ht="76" customHeight="1">
      <x:c r="A9" s="64" t="str">
        <x:v>Q1-05</x:v>
      </x:c>
      <x:c r="B9" s="64" t="str">
        <x:v>生辰测算</x:v>
      </x:c>
      <x:c r="C9" s="64" t="str">
        <x:v>历法/生辰计算接入、五行/关系图表、按规则展示解读</x:v>
      </x:c>
      <x:c r="D9" s="71" t="n">
        <x:v>1100</x:v>
      </x:c>
      <x:c r="E9" s="64" t="str">
        <x:v>Q1-02</x:v>
      </x:c>
      <x:c r="F9" s="64" t="str">
        <x:v>TASK-102；规则与接口已提供；神煞排名/占比必须有数据来源，不虚构统计</x:v>
      </x:c>
    </x:row>
    <x:row r="10" ht="76" customHeight="1">
      <x:c r="A10" s="66" t="str">
        <x:v>Q1-06</x:v>
      </x:c>
      <x:c r="B10" s="66" t="str">
        <x:v>个性化解读与内容消费</x:v>
      </x:c>
      <x:c r="C10" s="66" t="str">
        <x:v>按结果匹配模板解读、相关内容、详情、报告/浏览历史、分享</x:v>
      </x:c>
      <x:c r="D10" s="72" t="n">
        <x:v>1000</x:v>
      </x:c>
      <x:c r="E10" s="66" t="str">
        <x:v>Q1-03/04/05</x:v>
      </x:c>
      <x:c r="F10" s="66" t="str">
        <x:v>TASK-102/105；规则/模板而非AI实时生成；提供报告素材与样例，内容付费复用会员权益</x:v>
      </x:c>
    </x:row>
    <x:row r="11" ht="76" customHeight="1">
      <x:c r="A11" s="64" t="str">
        <x:v>Q1-07</x:v>
      </x:c>
      <x:c r="B11" s="64" t="str">
        <x:v>会员、支付与订单</x:v>
      </x:c>
      <x:c r="C11" s="64" t="str">
        <x:v>基础套餐、开通/手动续费、权益发放、订单、退款及回调</x:v>
      </x:c>
      <x:c r="D11" s="71" t="n">
        <x:v>1600</x:v>
      </x:c>
      <x:c r="E11" s="64" t="str">
        <x:v>Q1-02</x:v>
      </x:c>
      <x:c r="F11" s="64" t="str">
        <x:v>TASK-104；一个支付渠道；不含自动续费、IAP、多币种和虚拟币钱包</x:v>
      </x:c>
    </x:row>
    <x:row r="12" ht="76" customHeight="1">
      <x:c r="A12" s="66" t="str">
        <x:v>Q1-08</x:v>
      </x:c>
      <x:c r="B12" s="66" t="str">
        <x:v>首页、个人中心与通知</x:v>
      </x:c>
      <x:c r="C12" s="66" t="str">
        <x:v>已上线工具/内容搜索、Banner、个人入口、系统消息、基础设置</x:v>
      </x:c>
      <x:c r="D12" s="72" t="n">
        <x:v>800</x:v>
      </x:c>
      <x:c r="E12" s="66" t="str">
        <x:v>Q1-02/06</x:v>
      </x:c>
      <x:c r="F12" s="66" t="str">
        <x:v>TASK-105；规则推荐，不含社区发布/评论、私信、学习型推荐</x:v>
      </x:c>
    </x:row>
    <x:row r="13" ht="76" customHeight="1">
      <x:c r="A13" s="64" t="str">
        <x:v>Q1-09</x:v>
      </x:c>
      <x:c r="B13" s="64" t="str">
        <x:v>一期运营后台</x:v>
      </x:c>
      <x:c r="C13" s="64" t="str">
        <x:v>账号、题库/报告内容、会员配置、订单/退款/反馈与基础统计</x:v>
      </x:c>
      <x:c r="D13" s="71" t="n">
        <x:v>1000</x:v>
      </x:c>
      <x:c r="E13" s="64" t="str">
        <x:v>Q1-03/06/07</x:v>
      </x:c>
      <x:c r="F13" s="64" t="str">
        <x:v>TASK-106；标准管理组件；非定制BI数据平台</x:v>
      </x:c>
    </x:row>
    <x:row r="14" ht="76" customHeight="1">
      <x:c r="A14" s="66" t="str">
        <x:v>Q1-10</x:v>
      </x:c>
      <x:c r="B14" s="66" t="str">
        <x:v>集成交付与回归</x:v>
      </x:c>
      <x:c r="C14" s="66" t="str">
        <x:v>接口联调、环境部署、核心链路回归、交付文档与一次验收</x:v>
      </x:c>
      <x:c r="D14" s="72" t="n">
        <x:v>800</x:v>
      </x:c>
      <x:c r="E14" s="66" t="str">
        <x:v>Q1-01至09</x:v>
      </x:c>
      <x:c r="F14" s="66" t="str">
        <x:v>TASK-101至106；含一次本期发布；上架审查/备案/商户开通等待不计</x:v>
      </x:c>
    </x:row>
    <x:row r="15" ht="100" customHeight="1">
      <x:c r="A15" s="43" t="str">
        <x:v>Q1-11</x:v>
      </x:c>
      <x:c r="B15" s="43" t="str">
        <x:v>本期双端适配</x:v>
      </x:c>
      <x:c r="C15" s="43" t="str">
        <x:v>跨端路线验证、页面/星图、登录/支付/分享适配</x:v>
      </x:c>
      <x:c r="D15" s="57" t="n">
        <x:v>2200</x:v>
      </x:c>
      <x:c r="E15" s="43" t="str">
        <x:v>本期功能同步适配</x:v>
      </x:c>
      <x:c r="F15" s="43" t="str">
        <x:v>含最小可行性验证，基础小程序视图/平台接口与App平台差异；不含自研编译器和IAP。若必须整套Flutter直编小程序，正式报价前须验证。；Flutter官方支持平台：https://docs.flutter.dev/reference/supported-platforms</x:v>
      </x:c>
    </x:row>
    <x:row r="16" ht="40" customHeight="1">
      <x:c r="A16" s="68" t="str">
        <x:v>本期基础金额（含开发、QA及双端适配）</x:v>
      </x:c>
      <x:c r="B16" s="68"/>
      <x:c r="C16" s="68"/>
      <x:c r="D16" s="73" t="n">
        <x:f>SUM(D5:D15)</x:f>
        <x:v>12500</x:v>
      </x:c>
      <x:c r="E16" s="68"/>
      <x:c r="F16" s="68"/>
    </x:row>
    <x:row r="17" ht="40" customHeight="1">
      <x:c r="A17" s="68" t="str">
        <x:v>本期风险预留金额</x:v>
      </x:c>
      <x:c r="B17" s="68"/>
      <x:c r="C17" s="68"/>
      <x:c r="D17" s="73" t="n">
        <x:v>1900</x:v>
      </x:c>
      <x:c r="E17" s="68"/>
      <x:c r="F17" s="68"/>
    </x:row>
    <x:row r="18" ht="40" customHeight="1">
      <x:c r="A18" s="52" t="str">
        <x:v>本期报价合计</x:v>
      </x:c>
      <x:c r="B18" s="52"/>
      <x:c r="C18" s="52"/>
      <x:c r="D18" s="63" t="n">
        <x:f>SUM(D16:D17)</x:f>
        <x:v>14400</x:v>
      </x:c>
      <x:c r="E18" s="52"/>
      <x:c r="F18" s="52"/>
    </x:row>
    <x:row r="19" ht="40" customHeight="1">
      <x:c r="A19" s="68" t="str">
        <x:v>本期团队工作日</x:v>
      </x:c>
      <x:c r="B19" s="68"/>
      <x:c r="C19" s="68"/>
      <x:c r="D19" s="74" t="n">
        <x:f>'报价参数'!D5</x:f>
        <x:v>34</x:v>
      </x:c>
      <x:c r="E19" s="68" t="str">
        <x:v>在原定排期基础上增加10个工作日，价格不变</x:v>
      </x:c>
      <x:c r="F19" s="68"/>
    </x:row>
    <x:row r="20" ht="40" customHeight="1">
      <x:c r="A20" s="68" t="str">
        <x:v>本期含税金额</x:v>
      </x:c>
      <x:c r="B20" s="68"/>
      <x:c r="C20" s="68"/>
      <x:c r="D20" s="73" t="str">
        <x:f>IF(COUNT('报价参数'!B10)=0,"待确认税口径",ROUND(D18*(1+'报价参数'!B10),2))</x:f>
        <x:v>待确认税口径</x:v>
      </x:c>
      <x:c r="E20" s="68"/>
      <x:c r="F20" s="68"/>
    </x:row>
    <x:row r="21" ht="38" customHeight="1">
      <x:c r="A21" s="3"/>
      <x:c r="B21" s="3"/>
      <x:c r="C21" s="3"/>
      <x:c r="D21" s="3"/>
      <x:c r="E21" s="3"/>
      <x:c r="F21" s="3"/>
    </x:row>
    <x:row r="22" ht="60" customHeight="1">
      <x:c r="A22" s="6" t="str">
        <x:v>本期验收</x:v>
      </x:c>
      <x:c r="B22" s="6"/>
      <x:c r="C22" s="6" t="str">
        <x:v>四类测算按样例产出结果与对应解读；内容权益可用；会员支付不重复发权益，失败/退款按规则处理</x:v>
      </x:c>
      <x:c r="D22" s="6"/>
      <x:c r="E22" s="6"/>
      <x:c r="F22" s="6"/>
    </x:row>
    <x:row r="23" ht="60" customHeight="1">
      <x:c r="A23" s="6" t="str">
        <x:v>本期边界</x:v>
      </x:c>
      <x:c r="B23" s="6"/>
      <x:c r="C23" s="6" t="str">
        <x:v>每类测算规则/题库/模板需预先提供；不承诺从零研究算法或全部高级命理维度；算法、题库、素材须有可用授权，不以随机值或AI自由生成代替真实测算。</x:v>
      </x:c>
      <x:c r="D23" s="6"/>
      <x:c r="E23" s="6"/>
      <x:c r="F23" s="6"/>
    </x:row>
    <x:row r="24" ht="38" customHeight="1">
      <x:c r="A24" s="3"/>
      <x:c r="B24" s="3"/>
      <x:c r="C24" s="3"/>
      <x:c r="D24" s="3"/>
      <x:c r="E24" s="3"/>
      <x:c r="F24" s="3"/>
    </x:row>
    <x:row r="25" ht="48" customHeight="1">
      <x:c r="A25" s="19" t="str">
        <x:v>本期可选增项 · 未选购，不计入以上报价</x:v>
      </x:c>
      <x:c r="B25" s="19"/>
      <x:c r="C25" s="19"/>
      <x:c r="D25" s="19"/>
      <x:c r="E25" s="19"/>
      <x:c r="F25" s="19"/>
    </x:row>
    <x:row r="26" ht="48" customHeight="1">
      <x:c r="A26" s="7" t="str">
        <x:v>本期暂无单列可选增项；跨期新增交付端见“共同约定”。</x:v>
      </x:c>
      <x:c r="B26" s="7"/>
      <x:c r="C26" s="7"/>
      <x:c r="D26" s="7"/>
      <x:c r="E26" s="7"/>
      <x:c r="F26" s="7"/>
    </x:row>
    <x:row r="27" ht="38" customHeight="1">
      <x:c r="A27" s="3"/>
      <x:c r="B27" s="3"/>
      <x:c r="C27" s="3"/>
      <x:c r="D27" s="3"/>
      <x:c r="E27" s="3"/>
      <x:c r="F27" s="3"/>
    </x:row>
    <x:row r="28" ht="38" customHeight="1">
      <x:c r="A28" s="3"/>
      <x:c r="B28" s="3"/>
      <x:c r="C28" s="3"/>
      <x:c r="D28" s="3"/>
      <x:c r="E28" s="3"/>
      <x:c r="F28" s="3"/>
    </x:row>
    <x:row r="29" ht="38" customHeight="1">
      <x:c r="A29" s="3"/>
      <x:c r="B29" s="3"/>
      <x:c r="C29" s="3"/>
      <x:c r="D29" s="3"/>
      <x:c r="E29" s="3"/>
      <x:c r="F29" s="3"/>
    </x:row>
    <x:row r="30" ht="38" customHeight="1">
      <x:c r="A30" s="3"/>
      <x:c r="B30" s="3"/>
      <x:c r="C30" s="3"/>
      <x:c r="D30" s="3"/>
      <x:c r="E30" s="3"/>
      <x:c r="F30" s="3"/>
    </x:row>
    <x:row r="31" ht="38" customHeight="1">
      <x:c r="A31" s="3"/>
      <x:c r="B31" s="3"/>
      <x:c r="C31" s="3"/>
      <x:c r="D31" s="3"/>
      <x:c r="E31" s="3"/>
      <x:c r="F31" s="3"/>
    </x:row>
  </x:sheetData>
  <x:mergeCells>
    <x:mergeCell ref="A1:F1"/>
    <x:mergeCell ref="A2:F2"/>
    <x:mergeCell ref="A16:C16"/>
    <x:mergeCell ref="A17:C17"/>
    <x:mergeCell ref="A18:C18"/>
    <x:mergeCell ref="A19:C19"/>
    <x:mergeCell ref="A20:C20"/>
    <x:mergeCell ref="E19:F19"/>
    <x:mergeCell ref="A22:B22"/>
    <x:mergeCell ref="C22:F22"/>
    <x:mergeCell ref="A23:B23"/>
    <x:mergeCell ref="C23:F23"/>
    <x:mergeCell ref="A25:F25"/>
    <x:mergeCell ref="A26:F26"/>
  </x:mergeCells>
  <x:pageMargins left="0.7" right="0.7" top="0.75" bottom="0.75" header="0.3" footer="0.3"/>
  <x:legacyDrawing xmlns:r="http://schemas.openxmlformats.org/officeDocument/2006/relationships" r:id="Rab6bc78d7e774af8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6.25" hidden="0" customWidth="1"/>
    <x:col min="3" max="3" width="48.75" hidden="0" customWidth="1"/>
    <x:col min="4" max="4" width="18.75" hidden="0" customWidth="1"/>
    <x:col min="5" max="5" width="22.5" hidden="0" customWidth="1"/>
    <x:col min="6" max="6" width="57.5" hidden="0" customWidth="1"/>
  </x:cols>
  <x:sheetData>
    <x:row r="1" ht="42" customHeight="1">
      <x:c r="A1" s="5" t="str">
        <x:v>二期 · 功能与报价</x:v>
      </x:c>
      <x:c r="B1" s="5"/>
      <x:c r="C1" s="5"/>
      <x:c r="D1" s="5"/>
      <x:c r="E1" s="5"/>
      <x:c r="F1" s="5"/>
    </x:row>
    <x:row r="2" ht="48" customHeight="1">
      <x:c r="A2" s="7" t="str">
        <x:v>AI问答/深度解读、社区/小组、智能客服、私信/匹配、基础优惠券与后台；含双端适配、QA和风险预留。</x:v>
      </x:c>
      <x:c r="B2" s="7"/>
      <x:c r="C2" s="7"/>
      <x:c r="D2" s="7"/>
      <x:c r="E2" s="7"/>
      <x:c r="F2" s="7"/>
    </x:row>
    <x:row r="3" ht="38" customHeight="1">
      <x:c r="A3" s="3"/>
      <x:c r="B3" s="3"/>
      <x:c r="C3" s="3"/>
      <x:c r="D3" s="3"/>
      <x:c r="E3" s="3"/>
      <x:c r="F3" s="3"/>
    </x:row>
    <x:row r="4" ht="34" customHeight="1">
      <x:c r="A4" s="42" t="str">
        <x:v>编号</x:v>
      </x:c>
      <x:c r="B4" s="42" t="str">
        <x:v>功能模块</x:v>
      </x:c>
      <x:c r="C4" s="42" t="str">
        <x:v>交付范围</x:v>
      </x:c>
      <x:c r="D4" s="55" t="str">
        <x:v>未税金额</x:v>
      </x:c>
      <x:c r="E4" s="42" t="str">
        <x:v>依赖</x:v>
      </x:c>
      <x:c r="F4" s="42" t="str">
        <x:v>估算前提 / 来源</x:v>
      </x:c>
    </x:row>
    <x:row r="5" ht="76" customHeight="1">
      <x:c r="A5" s="64" t="str">
        <x:v>Q2-01</x:v>
      </x:c>
      <x:c r="B5" s="64" t="str">
        <x:v>AI文字问答</x:v>
      </x:c>
      <x:c r="C5" s="64" t="str">
        <x:v>模型接口、流式多轮、快捷问题、历史、停止/重试与反馈</x:v>
      </x:c>
      <x:c r="D5" s="71" t="n">
        <x:v>1300</x:v>
      </x:c>
      <x:c r="E5" s="64" t="str">
        <x:v>一期验收</x:v>
      </x:c>
      <x:c r="F5" s="64" t="str">
        <x:v>TASK-201；接入现成模型，不训练基础模型；不含双向实时语音</x:v>
      </x:c>
    </x:row>
    <x:row r="6" ht="76" customHeight="1">
      <x:c r="A6" s="66" t="str">
        <x:v>Q2-02</x:v>
      </x:c>
      <x:c r="B6" s="66" t="str">
        <x:v>AI解读与额度权益</x:v>
      </x:c>
      <x:c r="C6" s="66" t="str">
        <x:v>档案授权、深度报告、提示词、会员额度、语音输入转文字</x:v>
      </x:c>
      <x:c r="D6" s="72" t="n">
        <x:v>1100</x:v>
      </x:c>
      <x:c r="E6" s="66" t="str">
        <x:v>Q2-01</x:v>
      </x:c>
      <x:c r="F6" s="66" t="str">
        <x:v>TASK-201；一期档案/会员/报告复用；AI失败扣次规则先确定</x:v>
      </x:c>
    </x:row>
    <x:row r="7" ht="76" customHeight="1">
      <x:c r="A7" s="64" t="str">
        <x:v>Q2-03</x:v>
      </x:c>
      <x:c r="B7" s="64" t="str">
        <x:v>智能客服</x:v>
      </x:c>
      <x:c r="C7" s="64" t="str">
        <x:v>FAQ知识库检索回答、会话、本人订单只读查询、人工工单</x:v>
      </x:c>
      <x:c r="D7" s="71" t="n">
        <x:v>1300</x:v>
      </x:c>
      <x:c r="E7" s="64" t="str">
        <x:v>Q2-01</x:v>
      </x:c>
      <x:c r="F7" s="64" t="str">
        <x:v>TASK-203；一套受控知识库；客户提供FAQ；不含AI自动退款/改价/扣款</x:v>
      </x:c>
    </x:row>
    <x:row r="8" ht="76" customHeight="1">
      <x:c r="A8" s="66" t="str">
        <x:v>Q2-04</x:v>
      </x:c>
      <x:c r="B8" s="66" t="str">
        <x:v>社区内容互动</x:v>
      </x:c>
      <x:c r="C8" s="66" t="str">
        <x:v>图文发布、评论/回复、点赞/收藏、删除/分享、举报</x:v>
      </x:c>
      <x:c r="D8" s="72" t="n">
        <x:v>1600</x:v>
      </x:c>
      <x:c r="E8" s="66" t="str">
        <x:v>一期账号/内容</x:v>
      </x:c>
      <x:c r="F8" s="66" t="str">
        <x:v>TASK-202；图文社区；不含短视频编辑与视频上传处理平台</x:v>
      </x:c>
    </x:row>
    <x:row r="9" ht="76" customHeight="1">
      <x:c r="A9" s="64" t="str">
        <x:v>Q2-05</x:v>
      </x:c>
      <x:c r="B9" s="64" t="str">
        <x:v>关系、主页与小组</x:v>
      </x:c>
      <x:c r="C9" s="64" t="str">
        <x:v>关注/粉丝、公开主页、小组加入/退出、组内内容</x:v>
      </x:c>
      <x:c r="D9" s="71" t="n">
        <x:v>1100</x:v>
      </x:c>
      <x:c r="E9" s="64" t="str">
        <x:v>Q2-04</x:v>
      </x:c>
      <x:c r="F9" s="64" t="str">
        <x:v>TASK-202；基础小组，无大型群管理或复杂积分等级</x:v>
      </x:c>
    </x:row>
    <x:row r="10" ht="76" customHeight="1">
      <x:c r="A10" s="66" t="str">
        <x:v>Q2-06</x:v>
      </x:c>
      <x:c r="B10" s="66" t="str">
        <x:v>私信与互动消息</x:v>
      </x:c>
      <x:c r="C10" s="66" t="str">
        <x:v>基本文字私信、已读、未读同步、通知偏好与屏蔽</x:v>
      </x:c>
      <x:c r="D10" s="72" t="n">
        <x:v>1100</x:v>
      </x:c>
      <x:c r="E10" s="66" t="str">
        <x:v>Q2-04/05</x:v>
      </x:c>
      <x:c r="F10" s="66" t="str">
        <x:v>TASK-204；复用消息组件/服务；不自研分布式IM平台，服务费另付</x:v>
      </x:c>
    </x:row>
    <x:row r="11" ht="76" customHeight="1">
      <x:c r="A11" s="64" t="str">
        <x:v>Q2-07</x:v>
      </x:c>
      <x:c r="B11" s="64" t="str">
        <x:v>匹配与推荐</x:v>
      </x:c>
      <x:c r="C11" s="64" t="str">
        <x:v>同频匹配、标签规则推荐、推荐说明与偏好</x:v>
      </x:c>
      <x:c r="D11" s="71" t="n">
        <x:v>500</x:v>
      </x:c>
      <x:c r="E11" s="64" t="str">
        <x:v>Q2-05</x:v>
      </x:c>
      <x:c r="F11" s="64" t="str">
        <x:v>TASK-204；标签规则方案，不含推荐算法训练与大规模实验平台</x:v>
      </x:c>
    </x:row>
    <x:row r="12" ht="76" customHeight="1">
      <x:c r="A12" s="66" t="str">
        <x:v>Q2-08</x:v>
      </x:c>
      <x:c r="B12" s="66" t="str">
        <x:v>基础营销</x:v>
      </x:c>
      <x:c r="C12" s="66" t="str">
        <x:v>优惠券、兑换码、新客活动配置、核销回退与提醒</x:v>
      </x:c>
      <x:c r="D12" s="72" t="n">
        <x:v>800</x:v>
      </x:c>
      <x:c r="E12" s="66" t="str">
        <x:v>一期订单</x:v>
      </x:c>
      <x:c r="F12" s="66" t="str">
        <x:v>TASK-205；简单规则，不叠加复杂多券最优解；自动续费另列</x:v>
      </x:c>
    </x:row>
    <x:row r="13" ht="76" customHeight="1">
      <x:c r="A13" s="64" t="str">
        <x:v>Q2-09</x:v>
      </x:c>
      <x:c r="B13" s="64" t="str">
        <x:v>二期后台扩展</x:v>
      </x:c>
      <x:c r="C13" s="64" t="str">
        <x:v>AI用量、内容/举报、FAQ/工单、券配置与基础运营统计</x:v>
      </x:c>
      <x:c r="D13" s="71" t="n">
        <x:v>1100</x:v>
      </x:c>
      <x:c r="E13" s="64" t="str">
        <x:v>Q2-01至08</x:v>
      </x:c>
      <x:c r="F13" s="64" t="str">
        <x:v>TASK-201/202/203/205；复用一期后台和统计；内容处理规则由客户确认</x:v>
      </x:c>
    </x:row>
    <x:row r="14" ht="76" customHeight="1">
      <x:c r="A14" s="66" t="str">
        <x:v>Q2-10</x:v>
      </x:c>
      <x:c r="B14" s="66" t="str">
        <x:v>集成回归与交付</x:v>
      </x:c>
      <x:c r="C14" s="66" t="str">
        <x:v>AI异常、社区权限和交易回归、发布与一次集中验收</x:v>
      </x:c>
      <x:c r="D14" s="72" t="n">
        <x:v>800</x:v>
      </x:c>
      <x:c r="E14" s="66" t="str">
        <x:v>Q2-01至09</x:v>
      </x:c>
      <x:c r="F14" s="66" t="str">
        <x:v>TASK-201至205；含一期关键链路回归；不含持续人工审核运营</x:v>
      </x:c>
    </x:row>
    <x:row r="15" ht="100" customHeight="1">
      <x:c r="A15" s="46" t="str">
        <x:v>Q2-11</x:v>
      </x:c>
      <x:c r="B15" s="46" t="str">
        <x:v>本期双端适配</x:v>
      </x:c>
      <x:c r="C15" s="46" t="str">
        <x:v>AI流式、社区媒体/私信、通知与输入适配</x:v>
      </x:c>
      <x:c r="D15" s="59" t="n">
        <x:v>1700</x:v>
      </x:c>
      <x:c r="E15" s="46" t="str">
        <x:v>本期功能同步适配</x:v>
      </x:c>
      <x:c r="F15" s="46" t="str">
        <x:v>复用后端与业务协议；处理小程序/Android/iOS的网络、图片和消息生命周期差异。；用户确认双端范围；工程估算</x:v>
      </x:c>
    </x:row>
    <x:row r="16" ht="40" customHeight="1">
      <x:c r="A16" s="75" t="str">
        <x:v>本期基础金额（含开发、QA及双端适配）</x:v>
      </x:c>
      <x:c r="B16" s="75"/>
      <x:c r="C16" s="75"/>
      <x:c r="D16" s="78" t="n">
        <x:f>SUM(D5:D15)</x:f>
        <x:v>12400</x:v>
      </x:c>
      <x:c r="E16" s="75"/>
      <x:c r="F16" s="75"/>
    </x:row>
    <x:row r="17" ht="40" customHeight="1">
      <x:c r="A17" s="75" t="str">
        <x:v>本期风险预留金额</x:v>
      </x:c>
      <x:c r="B17" s="75"/>
      <x:c r="C17" s="75"/>
      <x:c r="D17" s="78" t="n">
        <x:v>1900</x:v>
      </x:c>
      <x:c r="E17" s="75"/>
      <x:c r="F17" s="75"/>
    </x:row>
    <x:row r="18" ht="40" customHeight="1">
      <x:c r="A18" s="52" t="str">
        <x:v>本期报价合计</x:v>
      </x:c>
      <x:c r="B18" s="52"/>
      <x:c r="C18" s="52"/>
      <x:c r="D18" s="63" t="n">
        <x:f>SUM(D16:D17)</x:f>
        <x:v>14300</x:v>
      </x:c>
      <x:c r="E18" s="52"/>
      <x:c r="F18" s="52"/>
    </x:row>
    <x:row r="19" ht="40" customHeight="1">
      <x:c r="A19" s="75" t="str">
        <x:v>本期团队工作日</x:v>
      </x:c>
      <x:c r="B19" s="75"/>
      <x:c r="C19" s="75"/>
      <x:c r="D19" s="79" t="n">
        <x:f>'报价参数'!D6</x:f>
        <x:v>34</x:v>
      </x:c>
      <x:c r="E19" s="75" t="str">
        <x:v>在原定排期基础上增加10个工作日，价格不变</x:v>
      </x:c>
      <x:c r="F19" s="75"/>
    </x:row>
    <x:row r="20" ht="40" customHeight="1">
      <x:c r="A20" s="75" t="str">
        <x:v>本期含税金额</x:v>
      </x:c>
      <x:c r="B20" s="75"/>
      <x:c r="C20" s="75"/>
      <x:c r="D20" s="78" t="str">
        <x:f>IF(COUNT('报价参数'!B10)=0,"待确认税口径",ROUND(D18*(1+'报价参数'!B10),2))</x:f>
        <x:v>待确认税口径</x:v>
      </x:c>
      <x:c r="E20" s="75"/>
      <x:c r="F20" s="75"/>
    </x:row>
    <x:row r="21" ht="38" customHeight="1">
      <x:c r="A21" s="3"/>
      <x:c r="B21" s="3"/>
      <x:c r="C21" s="3"/>
      <x:c r="D21" s="3"/>
      <x:c r="E21" s="3"/>
      <x:c r="F21" s="3"/>
    </x:row>
    <x:row r="22" ht="60" customHeight="1">
      <x:c r="A22" s="6" t="str">
        <x:v>本期验收</x:v>
      </x:c>
      <x:c r="B22" s="6"/>
      <x:c r="C22" s="6" t="str">
        <x:v>AI会话隔离与扣次一致；社区发布/互动/举报闭环；客服已知FAQ可答、未知可转工单</x:v>
      </x:c>
      <x:c r="D22" s="6"/>
      <x:c r="E22" s="6"/>
      <x:c r="F22" s="6"/>
    </x:row>
    <x:row r="23" ht="60" customHeight="1">
      <x:c r="A23" s="6" t="str">
        <x:v>本期边界</x:v>
      </x:c>
      <x:c r="B23" s="6"/>
      <x:c r="C23" s="6" t="str">
        <x:v>AI质量用双方约定样例验收，不保证所有开放问题正确；无AI自动退款权限</x:v>
      </x:c>
      <x:c r="D23" s="6"/>
      <x:c r="E23" s="6"/>
      <x:c r="F23" s="6"/>
    </x:row>
    <x:row r="24" ht="38" customHeight="1">
      <x:c r="A24" s="3"/>
      <x:c r="B24" s="3"/>
      <x:c r="C24" s="3"/>
      <x:c r="D24" s="3"/>
      <x:c r="E24" s="3"/>
      <x:c r="F24" s="3"/>
    </x:row>
    <x:row r="25" ht="48" customHeight="1">
      <x:c r="A25" s="19" t="str">
        <x:v>本期可选增项 · 未选购，不计入以上报价</x:v>
      </x:c>
      <x:c r="B25" s="19"/>
      <x:c r="C25" s="19"/>
      <x:c r="D25" s="19"/>
      <x:c r="E25" s="19"/>
      <x:c r="F25" s="19"/>
    </x:row>
    <x:row r="26" ht="34" customHeight="1">
      <x:c r="A26" s="42" t="str">
        <x:v>选件</x:v>
      </x:c>
      <x:c r="B26" s="42" t="str">
        <x:v>可选功能</x:v>
      </x:c>
      <x:c r="C26" s="42" t="str">
        <x:v>说明</x:v>
      </x:c>
      <x:c r="D26" s="55" t="str">
        <x:v>未税参考金额</x:v>
      </x:c>
      <x:c r="E26" s="42" t="str">
        <x:v>状态</x:v>
      </x:c>
      <x:c r="F26" s="42" t="str">
        <x:v>边界 / 前提</x:v>
      </x:c>
    </x:row>
    <x:row r="27" ht="76" customHeight="1">
      <x:c r="A27" s="66" t="str">
        <x:v>OPT-02</x:v>
      </x:c>
      <x:c r="B27" s="66" t="str">
        <x:v>会员自动续费</x:v>
      </x:c>
      <x:c r="C27" s="66" t="str">
        <x:v>独立粗估；未含特定预留及税费</x:v>
      </x:c>
      <x:c r="D27" s="72" t="n">
        <x:v>900</x:v>
      </x:c>
      <x:c r="E27" s="66" t="str">
        <x:v>未选购</x:v>
      </x:c>
      <x:c r="F27" s="66" t="str">
        <x:v>平台支持相关协议扣款，商户能力已开通；不含IAP新增渠道</x:v>
      </x:c>
    </x:row>
    <x:row r="28" ht="76" customHeight="1">
      <x:c r="A28" s="64" t="str">
        <x:v>OPT-05</x:v>
      </x:c>
      <x:c r="B28" s="64" t="str">
        <x:v>虚拟人物/分身</x:v>
      </x:c>
      <x:c r="C28" s="64" t="str">
        <x:v>独立粗估；未含特定预留及税费</x:v>
      </x:c>
      <x:c r="D28" s="71" t="n">
        <x:v>1400</x:v>
      </x:c>
      <x:c r="E28" s="64" t="str">
        <x:v>未选购</x:v>
      </x:c>
      <x:c r="F28" s="64" t="str">
        <x:v>仅现成模型的人设/资料/对话配置；不含3D建模、声音克隆或模型训练</x:v>
      </x:c>
    </x:row>
    <x:row r="29" ht="76" customHeight="1">
      <x:c r="A29" s="66" t="str">
        <x:v>OPT-06</x:v>
      </x:c>
      <x:c r="B29" s="66" t="str">
        <x:v>实物商城</x:v>
      </x:c>
      <x:c r="C29" s="66" t="str">
        <x:v>独立粗估；未含特定预留及税费</x:v>
      </x:c>
      <x:c r="D29" s="72" t="n">
        <x:v>2200</x:v>
      </x:c>
      <x:c r="E29" s="66" t="str">
        <x:v>未选购</x:v>
      </x:c>
      <x:c r="F29" s="66" t="str">
        <x:v>标准商品/购物车/订单/物流接入；单商家，不含多商户分账</x:v>
      </x:c>
    </x:row>
    <x:row r="30" ht="76" customHeight="1">
      <x:c r="A30" s="64" t="str">
        <x:v>OPT-09</x:v>
      </x:c>
      <x:c r="B30" s="64" t="str">
        <x:v>合盘/智慧卡/生辰历</x:v>
      </x:c>
      <x:c r="C30" s="64" t="str">
        <x:v>独立粗估；未含特定预留及税费</x:v>
      </x:c>
      <x:c r="D30" s="71" t="n">
        <x:v>1100</x:v>
      </x:c>
      <x:c r="E30" s="64" t="str">
        <x:v>未选购</x:v>
      </x:c>
      <x:c r="F30" s="64" t="str">
        <x:v>工具规则/API与文案已提供；本项作为约定扩展小包，具体种类数量须确认</x:v>
      </x:c>
    </x:row>
    <x:row r="31" ht="38" customHeight="1">
      <x:c r="A31" s="3"/>
      <x:c r="B31" s="3"/>
      <x:c r="C31" s="3"/>
      <x:c r="D31" s="3"/>
      <x:c r="E31" s="3"/>
      <x:c r="F31" s="3"/>
    </x:row>
  </x:sheetData>
  <x:mergeCells>
    <x:mergeCell ref="A1:F1"/>
    <x:mergeCell ref="A2:F2"/>
    <x:mergeCell ref="A16:C16"/>
    <x:mergeCell ref="A17:C17"/>
    <x:mergeCell ref="A18:C18"/>
    <x:mergeCell ref="A19:C19"/>
    <x:mergeCell ref="A20:C20"/>
    <x:mergeCell ref="E19:F19"/>
    <x:mergeCell ref="A22:B22"/>
    <x:mergeCell ref="C22:F22"/>
    <x:mergeCell ref="A23:B23"/>
    <x:mergeCell ref="C23:F23"/>
    <x:mergeCell ref="A25:F25"/>
  </x:mergeCells>
  <x:pageMargins left="0.7" right="0.7" top="0.75" bottom="0.75" header="0.3" footer="0.3"/>
  <x:legacyDrawing xmlns:r="http://schemas.openxmlformats.org/officeDocument/2006/relationships" r:id="Re183d6972f8945ee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6.25" hidden="0" customWidth="1"/>
    <x:col min="3" max="3" width="48.75" hidden="0" customWidth="1"/>
    <x:col min="4" max="4" width="18.75" hidden="0" customWidth="1"/>
    <x:col min="5" max="5" width="22.5" hidden="0" customWidth="1"/>
    <x:col min="6" max="6" width="57.5" hidden="0" customWidth="1"/>
  </x:cols>
  <x:sheetData>
    <x:row r="1" ht="42" customHeight="1">
      <x:c r="A1" s="5" t="str">
        <x:v>三期 · 功能与报价</x:v>
      </x:c>
      <x:c r="B1" s="5"/>
      <x:c r="C1" s="5"/>
      <x:c r="D1" s="5"/>
      <x:c r="E1" s="5"/>
      <x:c r="F1" s="5"/>
    </x:row>
    <x:row r="2" ht="48" customHeight="1">
      <x:c r="A2" s="7" t="str">
        <x:v>达人/预约、1v1语音、多人房/麦位、通话计时、售后/人工结算与巡查；含双端适配、QA和风险预留。</x:v>
      </x:c>
      <x:c r="B2" s="7"/>
      <x:c r="C2" s="7"/>
      <x:c r="D2" s="7"/>
      <x:c r="E2" s="7"/>
      <x:c r="F2" s="7"/>
    </x:row>
    <x:row r="3" ht="38" customHeight="1">
      <x:c r="A3" s="3"/>
      <x:c r="B3" s="3"/>
      <x:c r="C3" s="3"/>
      <x:c r="D3" s="3"/>
      <x:c r="E3" s="3"/>
      <x:c r="F3" s="3"/>
    </x:row>
    <x:row r="4" ht="34" customHeight="1">
      <x:c r="A4" s="42" t="str">
        <x:v>编号</x:v>
      </x:c>
      <x:c r="B4" s="42" t="str">
        <x:v>功能模块</x:v>
      </x:c>
      <x:c r="C4" s="42" t="str">
        <x:v>交付范围</x:v>
      </x:c>
      <x:c r="D4" s="55" t="str">
        <x:v>未税金额</x:v>
      </x:c>
      <x:c r="E4" s="42" t="str">
        <x:v>依赖</x:v>
      </x:c>
      <x:c r="F4" s="42" t="str">
        <x:v>估算前提 / 来源</x:v>
      </x:c>
    </x:row>
    <x:row r="5" ht="76" customHeight="1">
      <x:c r="A5" s="64" t="str">
        <x:v>Q3-01</x:v>
      </x:c>
      <x:c r="B5" s="64" t="str">
        <x:v>达人供给与服务配置</x:v>
      </x:c>
      <x:c r="C5" s="64" t="str">
        <x:v>入驻申请/审核、资料/列表/筛选、价格与服务项目</x:v>
      </x:c>
      <x:c r="D5" s="71" t="n">
        <x:v>1000</x:v>
      </x:c>
      <x:c r="E5" s="64" t="str">
        <x:v>一期账号/后台</x:v>
      </x:c>
      <x:c r="F5" s="64" t="str">
        <x:v>TASK-301；基础审核与服务定价，复杂等级/推荐统计规则需先定</x:v>
      </x:c>
    </x:row>
    <x:row r="6" ht="76" customHeight="1">
      <x:c r="A6" s="66" t="str">
        <x:v>Q3-02</x:v>
      </x:c>
      <x:c r="B6" s="66" t="str">
        <x:v>预约与达人工作台</x:v>
      </x:c>
      <x:c r="C6" s="66" t="str">
        <x:v>预约、在线状态、排队、接单/拒绝、咨询订单接入</x:v>
      </x:c>
      <x:c r="D6" s="72" t="n">
        <x:v>1100</x:v>
      </x:c>
      <x:c r="E6" s="66" t="str">
        <x:v>Q3-01</x:v>
      </x:c>
      <x:c r="F6" s="66" t="str">
        <x:v>TASK-301；基础排班；复用一期订单，不重建支付系统</x:v>
      </x:c>
    </x:row>
    <x:row r="7" ht="76" customHeight="1">
      <x:c r="A7" s="64" t="str">
        <x:v>Q3-03</x:v>
      </x:c>
      <x:c r="B7" s="64" t="str">
        <x:v>1v1语音通话</x:v>
      </x:c>
      <x:c r="C7" s="64" t="str">
        <x:v>RTC接入、双方入房、接听/结束、静音、图文辅助</x:v>
      </x:c>
      <x:c r="D7" s="71" t="n">
        <x:v>1600</x:v>
      </x:c>
      <x:c r="E7" s="64" t="str">
        <x:v>Q3-02</x:v>
      </x:c>
      <x:c r="F7" s="64" t="str">
        <x:v>TASK-301；成熟RTC SDK；仅语音，不含1v1视频与独立音视频服务器</x:v>
      </x:c>
    </x:row>
    <x:row r="8" ht="76" customHeight="1">
      <x:c r="A8" s="66" t="str">
        <x:v>Q3-04</x:v>
      </x:c>
      <x:c r="B8" s="66" t="str">
        <x:v>通话计时与费用一致性</x:v>
      </x:c>
      <x:c r="C8" s="66" t="str">
        <x:v>时长/续时、断线重连、超时结束、重复事件与结算状态</x:v>
      </x:c>
      <x:c r="D8" s="72" t="n">
        <x:v>1700</x:v>
      </x:c>
      <x:c r="E8" s="66" t="str">
        <x:v>Q3-03</x:v>
      </x:c>
      <x:c r="F8" s="66" t="str">
        <x:v>TASK-301；客户先确认中断、取整、计费与退款规则；弱网模拟不省略</x:v>
      </x:c>
    </x:row>
    <x:row r="9" ht="76" customHeight="1">
      <x:c r="A9" s="64" t="str">
        <x:v>Q3-05</x:v>
      </x:c>
      <x:c r="B9" s="64" t="str">
        <x:v>多人语音房与麦位</x:v>
      </x:c>
      <x:c r="C9" s="64" t="str">
        <x:v>主持人/嘉宾/听众、进退房、申请/排麦/上下麦、静音状态</x:v>
      </x:c>
      <x:c r="D9" s="71" t="n">
        <x:v>2200</x:v>
      </x:c>
      <x:c r="E9" s="64" t="str">
        <x:v>Q3-03</x:v>
      </x:c>
      <x:c r="F9" s="64" t="str">
        <x:v>TASK-302；基础多人语音房，默认最多8个同时发言麦位的估算假设；并发目标待确认</x:v>
      </x:c>
    </x:row>
    <x:row r="10" ht="76" customHeight="1">
      <x:c r="A10" s="66" t="str">
        <x:v>Q3-06</x:v>
      </x:c>
      <x:c r="B10" s="66" t="str">
        <x:v>房间发现与互动</x:v>
      </x:c>
      <x:c r="C10" s="66" t="str">
        <x:v>房间列表/分类/搜索、关注、文字互动、分享与举报</x:v>
      </x:c>
      <x:c r="D10" s="72" t="n">
        <x:v>800</x:v>
      </x:c>
      <x:c r="E10" s="66" t="str">
        <x:v>Q3-05</x:v>
      </x:c>
      <x:c r="F10" s="66" t="str">
        <x:v>TASK-302；复用二期关系/内容/消息，无礼物打赏和视频PK</x:v>
      </x:c>
    </x:row>
    <x:row r="11" ht="76" customHeight="1">
      <x:c r="A11" s="64" t="str">
        <x:v>Q3-07</x:v>
      </x:c>
      <x:c r="B11" s="64" t="str">
        <x:v>服务售后与结算</x:v>
      </x:c>
      <x:c r="C11" s="64" t="str">
        <x:v>评价、投诉/退款、达人分成明细、提现审核与对账</x:v>
      </x:c>
      <x:c r="D11" s="71" t="n">
        <x:v>1400</x:v>
      </x:c>
      <x:c r="E11" s="64" t="str">
        <x:v>Q3-04</x:v>
      </x:c>
      <x:c r="F11" s="64" t="str">
        <x:v>TASK-301；审核后人工批次结算；自动银行卡打款等清结算接口另估</x:v>
      </x:c>
    </x:row>
    <x:row r="12" ht="76" customHeight="1">
      <x:c r="A12" s="66" t="str">
        <x:v>Q3-08</x:v>
      </x:c>
      <x:c r="B12" s="66" t="str">
        <x:v>实时服务后台</x:v>
      </x:c>
      <x:c r="C12" s="66" t="str">
        <x:v>达人/房间管理、关闭房间、巡查入口、举报与用量统计</x:v>
      </x:c>
      <x:c r="D12" s="72" t="n">
        <x:v>800</x:v>
      </x:c>
      <x:c r="E12" s="66" t="str">
        <x:v>Q3-05/07</x:v>
      </x:c>
      <x:c r="F12" s="66" t="str">
        <x:v>TASK-301/302；巡查与内容处理配置；不含录制归档和回放管理</x:v>
      </x:c>
    </x:row>
    <x:row r="13" ht="76" customHeight="1">
      <x:c r="A13" s="64" t="str">
        <x:v>Q3-09</x:v>
      </x:c>
      <x:c r="B13" s="64" t="str">
        <x:v>实机与弱网专项</x:v>
      </x:c>
      <x:c r="C13" s="64" t="str">
        <x:v>音频权限、切网重连、多端麦位/计费一致性、基础并发检查</x:v>
      </x:c>
      <x:c r="D13" s="71" t="n">
        <x:v>1000</x:v>
      </x:c>
      <x:c r="E13" s="64" t="str">
        <x:v>Q3-03至08</x:v>
      </x:c>
      <x:c r="F13" s="64" t="str">
        <x:v>TASK-301/302；一个首发端的约定设备矩阵；不是无限设备与任意并发保证</x:v>
      </x:c>
    </x:row>
    <x:row r="14" ht="76" customHeight="1">
      <x:c r="A14" s="66" t="str">
        <x:v>Q3-10</x:v>
      </x:c>
      <x:c r="B14" s="66" t="str">
        <x:v>发布与交付验收</x:v>
      </x:c>
      <x:c r="C14" s="66" t="str">
        <x:v>全部阶段回归、部署发布、运维交接、一次集中验收</x:v>
      </x:c>
      <x:c r="D14" s="72" t="n">
        <x:v>700</x:v>
      </x:c>
      <x:c r="E14" s="66" t="str">
        <x:v>Q3-01至09</x:v>
      </x:c>
      <x:c r="F14" s="66" t="str">
        <x:v>TASK-301/302；不含上线后的持续运营值守或无限期功能修改</x:v>
      </x:c>
    </x:row>
    <x:row r="15" ht="100" customHeight="1">
      <x:c r="A15" s="49" t="str">
        <x:v>Q3-11</x:v>
      </x:c>
      <x:c r="B15" s="49" t="str">
        <x:v>本期双端适配</x:v>
      </x:c>
      <x:c r="C15" s="49" t="str">
        <x:v>小程序/App RTC、音频权限与跨端联调</x:v>
      </x:c>
      <x:c r="D15" s="61" t="n">
        <x:v>1800</x:v>
      </x:c>
      <x:c r="E15" s="49" t="str">
        <x:v>本期功能同步适配</x:v>
      </x:c>
      <x:c r="F15" s="49" t="str">
        <x:v>依赖所选RTC具备对应端SDK与账号资质；覆盖用户/达人不同端通话，不能按Flutter插件直接复用零成本算。；用户确认双端范围；RTC选型/资质待确认</x:v>
      </x:c>
    </x:row>
    <x:row r="16" ht="40" customHeight="1">
      <x:c r="A16" s="80" t="str">
        <x:v>本期基础金额（含开发、QA及双端适配）</x:v>
      </x:c>
      <x:c r="B16" s="80"/>
      <x:c r="C16" s="80"/>
      <x:c r="D16" s="83" t="n">
        <x:f>SUM(D5:D15)</x:f>
        <x:v>14100</x:v>
      </x:c>
      <x:c r="E16" s="80"/>
      <x:c r="F16" s="80"/>
    </x:row>
    <x:row r="17" ht="40" customHeight="1">
      <x:c r="A17" s="80" t="str">
        <x:v>本期风险预留金额</x:v>
      </x:c>
      <x:c r="B17" s="80"/>
      <x:c r="C17" s="80"/>
      <x:c r="D17" s="83" t="n">
        <x:v>2900</x:v>
      </x:c>
      <x:c r="E17" s="80"/>
      <x:c r="F17" s="80"/>
    </x:row>
    <x:row r="18" ht="40" customHeight="1">
      <x:c r="A18" s="52" t="str">
        <x:v>本期报价合计</x:v>
      </x:c>
      <x:c r="B18" s="52"/>
      <x:c r="C18" s="52"/>
      <x:c r="D18" s="63" t="n">
        <x:f>SUM(D16:D17)</x:f>
        <x:v>17000</x:v>
      </x:c>
      <x:c r="E18" s="52"/>
      <x:c r="F18" s="52"/>
    </x:row>
    <x:row r="19" ht="40" customHeight="1">
      <x:c r="A19" s="80" t="str">
        <x:v>本期团队工作日</x:v>
      </x:c>
      <x:c r="B19" s="80"/>
      <x:c r="C19" s="80"/>
      <x:c r="D19" s="84" t="n">
        <x:f>'报价参数'!D7</x:f>
        <x:v>39</x:v>
      </x:c>
      <x:c r="E19" s="80" t="str">
        <x:v>在原定排期基础上增加10个工作日，价格不变</x:v>
      </x:c>
      <x:c r="F19" s="80"/>
    </x:row>
    <x:row r="20" ht="40" customHeight="1">
      <x:c r="A20" s="80" t="str">
        <x:v>本期含税金额</x:v>
      </x:c>
      <x:c r="B20" s="80"/>
      <x:c r="C20" s="80"/>
      <x:c r="D20" s="83" t="str">
        <x:f>IF(COUNT('报价参数'!B10)=0,"待确认税口径",ROUND(D18*(1+'报价参数'!B10),2))</x:f>
        <x:v>待确认税口径</x:v>
      </x:c>
      <x:c r="E20" s="80"/>
      <x:c r="F20" s="80"/>
    </x:row>
    <x:row r="21" ht="38" customHeight="1">
      <x:c r="A21" s="3"/>
      <x:c r="B21" s="3"/>
      <x:c r="C21" s="3"/>
      <x:c r="D21" s="3"/>
      <x:c r="E21" s="3"/>
      <x:c r="F21" s="3"/>
    </x:row>
    <x:row r="22" ht="60" customHeight="1">
      <x:c r="A22" s="6" t="str">
        <x:v>本期验收</x:v>
      </x:c>
      <x:c r="B22" s="6"/>
      <x:c r="C22" s="6" t="str">
        <x:v>真实1v1通话、多端麦位一致、权限拒绝/断线可处理；费用和服务记录可对账</x:v>
      </x:c>
      <x:c r="D22" s="6"/>
      <x:c r="E22" s="6"/>
      <x:c r="F22" s="6"/>
    </x:row>
    <x:row r="23" ht="60" customHeight="1">
      <x:c r="A23" s="6" t="str">
        <x:v>本期边界</x:v>
      </x:c>
      <x:c r="B23" s="6"/>
      <x:c r="C23" s="6" t="str">
        <x:v>通话取整/退款/分成规则需先定；默认8麦位仅是估算前提，并发目标需确认；明确无回放；后台录制留档仅为可选，未计入基本价。</x:v>
      </x:c>
      <x:c r="D23" s="6"/>
      <x:c r="E23" s="6"/>
      <x:c r="F23" s="6"/>
    </x:row>
    <x:row r="24" ht="38" customHeight="1">
      <x:c r="A24" s="3"/>
      <x:c r="B24" s="3"/>
      <x:c r="C24" s="3"/>
      <x:c r="D24" s="3"/>
      <x:c r="E24" s="3"/>
      <x:c r="F24" s="3"/>
    </x:row>
    <x:row r="25" ht="48" customHeight="1">
      <x:c r="A25" s="19" t="str">
        <x:v>本期可选增项 · 未选购，不计入以上报价</x:v>
      </x:c>
      <x:c r="B25" s="19"/>
      <x:c r="C25" s="19"/>
      <x:c r="D25" s="19"/>
      <x:c r="E25" s="19"/>
      <x:c r="F25" s="19"/>
    </x:row>
    <x:row r="26" ht="34" customHeight="1">
      <x:c r="A26" s="42" t="str">
        <x:v>选件</x:v>
      </x:c>
      <x:c r="B26" s="42" t="str">
        <x:v>可选功能</x:v>
      </x:c>
      <x:c r="C26" s="42" t="str">
        <x:v>说明</x:v>
      </x:c>
      <x:c r="D26" s="55" t="str">
        <x:v>未税参考金额</x:v>
      </x:c>
      <x:c r="E26" s="42" t="str">
        <x:v>状态</x:v>
      </x:c>
      <x:c r="F26" s="42" t="str">
        <x:v>边界 / 前提</x:v>
      </x:c>
    </x:row>
    <x:row r="27" ht="76" customHeight="1">
      <x:c r="A27" s="66" t="str">
        <x:v>OPT-03</x:v>
      </x:c>
      <x:c r="B27" s="66" t="str">
        <x:v>多达人异步提问</x:v>
      </x:c>
      <x:c r="C27" s="66" t="str">
        <x:v>独立粗估；未含特定预留及税费</x:v>
      </x:c>
      <x:c r="D27" s="72" t="n">
        <x:v>2000</x:v>
      </x:c>
      <x:c r="E27" s="66" t="str">
        <x:v>未选购</x:v>
      </x:c>
      <x:c r="F27" s="66" t="str">
        <x:v>复用达人/订单，人数套餐、派单、聚合和超时规则明确</x:v>
      </x:c>
    </x:row>
    <x:row r="28" ht="76" customHeight="1">
      <x:c r="A28" s="64" t="str">
        <x:v>OPT-04</x:v>
      </x:c>
      <x:c r="B28" s="64" t="str">
        <x:v>礼物与虚拟币钱包</x:v>
      </x:c>
      <x:c r="C28" s="64" t="str">
        <x:v>独立粗估；未含特定预留及税费</x:v>
      </x:c>
      <x:c r="D28" s="71" t="n">
        <x:v>1700</x:v>
      </x:c>
      <x:c r="E28" s="64" t="str">
        <x:v>未选购</x:v>
      </x:c>
      <x:c r="F28" s="64" t="str">
        <x:v>复用支付；含账本/赠礼，不含复杂自动清结算与银行直连</x:v>
      </x:c>
    </x:row>
    <x:row r="29" ht="76" customHeight="1">
      <x:c r="A29" s="66" t="str">
        <x:v>OPT-07</x:v>
      </x:c>
      <x:c r="B29" s="66" t="str">
        <x:v>1v1视频/基础视频直播</x:v>
      </x:c>
      <x:c r="C29" s="66" t="str">
        <x:v>独立粗估；未含特定预留及税费</x:v>
      </x:c>
      <x:c r="D29" s="72" t="n">
        <x:v>2200</x:v>
      </x:c>
      <x:c r="E29" s="66" t="str">
        <x:v>未选购</x:v>
      </x:c>
      <x:c r="F29" s="66" t="str">
        <x:v>复用RTC与房间；一种标准视频直播方案，无视频PK/导播/回放</x:v>
      </x:c>
    </x:row>
    <x:row r="30" ht="76" customHeight="1">
      <x:c r="A30" s="64" t="str">
        <x:v>OPT-08</x:v>
      </x:c>
      <x:c r="B30" s="64" t="str">
        <x:v>AI实时双向语音</x:v>
      </x:c>
      <x:c r="C30" s="64" t="str">
        <x:v>独立粗估；未含特定预留及税费</x:v>
      </x:c>
      <x:c r="D30" s="71" t="n">
        <x:v>1400</x:v>
      </x:c>
      <x:c r="E30" s="64" t="str">
        <x:v>未选购</x:v>
      </x:c>
      <x:c r="F30" s="64" t="str">
        <x:v>现成实时语音模型/SDK；不自研ASR/TTS与音频服务</x:v>
      </x:c>
    </x:row>
    <x:row r="31" ht="76" customHeight="1">
      <x:c r="A31" s="66" t="str">
        <x:v>OPT-10</x:v>
      </x:c>
      <x:c r="B31" s="66" t="str">
        <x:v>后台录制留档</x:v>
      </x:c>
      <x:c r="C31" s="66" t="str">
        <x:v>独立粗估；未含特定预留及税费</x:v>
      </x:c>
      <x:c r="D31" s="72" t="n">
        <x:v>800</x:v>
      </x:c>
      <x:c r="E31" s="66" t="str">
        <x:v>未选购</x:v>
      </x:c>
      <x:c r="F31" s="66" t="str">
        <x:v>录制任务/存储/期限/授权访问配置；不提供用户回放，云存储录制用量费另付</x:v>
      </x:c>
    </x:row>
    <x:row r="33" ht="48" customHeight="1">
      <x:c r="A33" s="19" t="str">
        <x:v>三期已包含 · 同一App／小程序内的达人专用入口与界面</x:v>
      </x:c>
      <x:c r="B33" s="19"/>
      <x:c r="C33" s="19"/>
      <x:c r="D33" s="19"/>
      <x:c r="E33" s="19"/>
      <x:c r="F33" s="19"/>
    </x:row>
    <x:row r="34" ht="34" customHeight="1">
      <x:c r="A34" s="42" t="str">
        <x:v>工作包</x:v>
      </x:c>
      <x:c r="B34" s="42" t="str">
        <x:v>达人专用功能</x:v>
      </x:c>
      <x:c r="C34" s="42" t="str">
        <x:v>交付范围</x:v>
      </x:c>
      <x:c r="D34" s="42" t="str">
        <x:v>计价方式</x:v>
      </x:c>
      <x:c r="E34" s="55" t="str">
        <x:v>计划工作日</x:v>
      </x:c>
      <x:c r="F34" s="42" t="str">
        <x:v>复用边界</x:v>
      </x:c>
    </x:row>
    <x:row r="35" ht="90" customHeight="1">
      <x:c r="A35" s="43" t="str">
        <x:v>EXP-01</x:v>
      </x:c>
      <x:c r="B35" s="43" t="str">
        <x:v>达人入口与专用首页</x:v>
      </x:c>
      <x:c r="C35" s="43" t="str">
        <x:v>身份入口/切换、审核状态、待办与服务概览</x:v>
      </x:c>
      <x:c r="D35" s="43" t="str">
        <x:v>包含在三期总价</x:v>
      </x:c>
      <x:c r="E35" s="88" t="n">
        <x:v>2</x:v>
      </x:c>
      <x:c r="F35" s="43" t="str">
        <x:v>同一账号体系；复用入驻、审核与服务配置，不另建独立App</x:v>
      </x:c>
    </x:row>
    <x:row r="36" ht="90" customHeight="1">
      <x:c r="A36" s="43" t="str">
        <x:v>EXP-02</x:v>
      </x:c>
      <x:c r="B36" s="43" t="str">
        <x:v>达人接待台</x:v>
      </x:c>
      <x:c r="C36" s="43" t="str">
        <x:v>排班入口、预约待办、接单/拒绝、通话接待、咨询记录</x:v>
      </x:c>
      <x:c r="D36" s="43" t="str">
        <x:v>包含在三期总价</x:v>
      </x:c>
      <x:c r="E36" s="88" t="n">
        <x:v>2</x:v>
      </x:c>
      <x:c r="F36" s="43" t="str">
        <x:v>复用预约、订单、RTC及计时；仅补充专用页面、状态联动及接口缺口</x:v>
      </x:c>
    </x:row>
    <x:row r="37" ht="90" customHeight="1">
      <x:c r="A37" s="43" t="str">
        <x:v>EXP-03</x:v>
      </x:c>
      <x:c r="B37" s="43" t="str">
        <x:v>收益、提现与售后界面</x:v>
      </x:c>
      <x:c r="C37" s="43" t="str">
        <x:v>收益汇总/账单、分成明细、提现申请/进度、售后处理入口</x:v>
      </x:c>
      <x:c r="D37" s="43" t="str">
        <x:v>包含在三期总价</x:v>
      </x:c>
      <x:c r="E37" s="88" t="n">
        <x:v>3</x:v>
      </x:c>
      <x:c r="F37" s="43" t="str">
        <x:v>复用原分成/提现审核与退款规则，仍为审核后人工结算；不增加自动打款</x:v>
      </x:c>
    </x:row>
    <x:row r="38" ht="90" customHeight="1">
      <x:c r="A38" s="43" t="str">
        <x:v>EXP-04</x:v>
      </x:c>
      <x:c r="B38" s="43" t="str">
        <x:v>达人角色双端联调</x:v>
      </x:c>
      <x:c r="C38" s="43" t="str">
        <x:v>用户/达人切换、角色访问边界、消息、支付/RTC与实机回归</x:v>
      </x:c>
      <x:c r="D38" s="43" t="str">
        <x:v>包含在三期总价</x:v>
      </x:c>
      <x:c r="E38" s="88" t="n">
        <x:v>1</x:v>
      </x:c>
      <x:c r="F38" s="43" t="str">
        <x:v>共用App与小程序，覆盖两种角色；不重复计入已有通用适配工作</x:v>
      </x:c>
    </x:row>
    <x:row r="39" ht="68" customHeight="1">
      <x:c r="A39" s="86" t="str">
        <x:v>达人专用界面补充排期（已包含在三期新增10个工作日内）</x:v>
      </x:c>
      <x:c r="B39" s="86"/>
      <x:c r="C39" s="86"/>
      <x:c r="D39" s="86"/>
      <x:c r="E39" s="89" t="n">
        <x:f>SUM(E35:E38)</x:f>
        <x:v>8</x:v>
      </x:c>
      <x:c r="F39" s="86" t="str">
        <x:v>约8个工作日用于补充开发/联调，剩余2个工作日作为排期缓冲；不再加到39个工作日之上。</x:v>
      </x:c>
    </x:row>
  </x:sheetData>
  <x:mergeCells>
    <x:mergeCell ref="A1:F1"/>
    <x:mergeCell ref="A2:F2"/>
    <x:mergeCell ref="A16:C16"/>
    <x:mergeCell ref="A17:C17"/>
    <x:mergeCell ref="A18:C18"/>
    <x:mergeCell ref="A19:C19"/>
    <x:mergeCell ref="A20:C20"/>
    <x:mergeCell ref="E19:F19"/>
    <x:mergeCell ref="A22:B22"/>
    <x:mergeCell ref="C22:F22"/>
    <x:mergeCell ref="A23:B23"/>
    <x:mergeCell ref="C23:F23"/>
    <x:mergeCell ref="A25:F25"/>
    <x:mergeCell ref="A33:F33"/>
    <x:mergeCell ref="A39:D39"/>
  </x:mergeCells>
  <x:pageMargins left="0.7" right="0.7" top="0.75" bottom="0.75" header="0.3" footer="0.3"/>
  <x:legacyDrawing xmlns:r="http://schemas.openxmlformats.org/officeDocument/2006/relationships" r:id="R36c45d924d7d44e7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25" hidden="0" customWidth="1"/>
    <x:col min="2" max="2" width="23.75" hidden="0" customWidth="1"/>
    <x:col min="3" max="3" width="23.75" hidden="0" customWidth="1"/>
    <x:col min="4" max="4" width="25" hidden="0" customWidth="1"/>
    <x:col min="5" max="5" width="53.75" hidden="0" customWidth="1"/>
  </x:cols>
  <x:sheetData>
    <x:row r="1" ht="42" customHeight="1">
      <x:c r="A1" s="5" t="str">
        <x:v>报价参数与交付排期</x:v>
      </x:c>
      <x:c r="B1" s="5"/>
      <x:c r="C1" s="5"/>
      <x:c r="D1" s="5"/>
      <x:c r="E1" s="5"/>
    </x:row>
    <x:row r="2" ht="48" customHeight="1">
      <x:c r="A2" s="7" t="str">
        <x:v>每期在原定工作日基础上增加10个工作日，开发报价保持原金额；黄色为可填写项。</x:v>
      </x:c>
      <x:c r="B2" s="7"/>
      <x:c r="C2" s="7"/>
      <x:c r="D2" s="7"/>
      <x:c r="E2" s="7"/>
    </x:row>
    <x:row r="3" ht="38" customHeight="1">
      <x:c r="A3" s="3"/>
      <x:c r="B3" s="3"/>
      <x:c r="C3" s="3"/>
      <x:c r="D3" s="3"/>
      <x:c r="E3" s="3"/>
    </x:row>
    <x:row r="4" ht="34" customHeight="1">
      <x:c r="A4" s="42" t="str">
        <x:v>阶段</x:v>
      </x:c>
      <x:c r="B4" s="55" t="str">
        <x:v>原定工作日</x:v>
      </x:c>
      <x:c r="C4" s="55" t="str">
        <x:v>增加工作日</x:v>
      </x:c>
      <x:c r="D4" s="55" t="str">
        <x:v>调整后工作日</x:v>
      </x:c>
      <x:c r="E4" s="42" t="str">
        <x:v>说明</x:v>
      </x:c>
    </x:row>
    <x:row r="5" ht="38" customHeight="1">
      <x:c r="A5" s="43" t="str">
        <x:v>一期</x:v>
      </x:c>
      <x:c r="B5" s="90" t="n">
        <x:v>24</x:v>
      </x:c>
      <x:c r="C5" s="90" t="n">
        <x:v>10</x:v>
      </x:c>
      <x:c r="D5" s="90" t="n">
        <x:f>SUM(B5:C5)</x:f>
        <x:v>34</x:v>
      </x:c>
      <x:c r="E5" s="43" t="str">
        <x:v>用户本轮确认：本期工作日＋10，价格不变</x:v>
      </x:c>
    </x:row>
    <x:row r="6" ht="38" customHeight="1">
      <x:c r="A6" s="46" t="str">
        <x:v>二期</x:v>
      </x:c>
      <x:c r="B6" s="91" t="n">
        <x:v>24</x:v>
      </x:c>
      <x:c r="C6" s="91" t="n">
        <x:v>10</x:v>
      </x:c>
      <x:c r="D6" s="91" t="n">
        <x:f>SUM(B6:C6)</x:f>
        <x:v>34</x:v>
      </x:c>
      <x:c r="E6" s="46" t="str">
        <x:v>用户本轮确认：本期工作日＋10，价格不变</x:v>
      </x:c>
    </x:row>
    <x:row r="7" ht="38" customHeight="1">
      <x:c r="A7" s="49" t="str">
        <x:v>三期</x:v>
      </x:c>
      <x:c r="B7" s="92" t="n">
        <x:v>29</x:v>
      </x:c>
      <x:c r="C7" s="92" t="n">
        <x:v>10</x:v>
      </x:c>
      <x:c r="D7" s="92" t="n">
        <x:f>SUM(B7:C7)</x:f>
        <x:v>39</x:v>
      </x:c>
      <x:c r="E7" s="49" t="str">
        <x:v>用户本轮确认：本期工作日＋10，价格不变</x:v>
      </x:c>
    </x:row>
    <x:row r="8" ht="38" customHeight="1">
      <x:c r="A8" s="3"/>
      <x:c r="B8" s="3"/>
      <x:c r="C8" s="3"/>
      <x:c r="D8" s="3"/>
      <x:c r="E8" s="3"/>
    </x:row>
    <x:row r="9" ht="34" customHeight="1">
      <x:c r="A9" s="42" t="str">
        <x:v>参数</x:v>
      </x:c>
      <x:c r="B9" s="42" t="str">
        <x:v>取值</x:v>
      </x:c>
      <x:c r="C9" s="42" t="str">
        <x:v>说明</x:v>
      </x:c>
      <x:c r="D9" s="42" t="str"/>
      <x:c r="E9" s="42" t="str"/>
    </x:row>
    <x:row r="10" ht="38" customHeight="1">
      <x:c r="A10" s="93" t="str">
        <x:v>税率</x:v>
      </x:c>
      <x:c r="B10" s="94"/>
      <x:c r="C10" s="93" t="str">
        <x:v>待确认开票与税口径；留空不等于0</x:v>
      </x:c>
      <x:c r="D10" s="93"/>
      <x:c r="E10" s="93"/>
    </x:row>
    <x:row r="11" ht="38" customHeight="1">
      <x:c r="A11" s="93" t="str">
        <x:v>客户名称</x:v>
      </x:c>
      <x:c r="B11" s="95" t="str">
        <x:v>待填写</x:v>
      </x:c>
      <x:c r="C11" s="93" t="str">
        <x:v>对外发送前填写</x:v>
      </x:c>
      <x:c r="D11" s="93"/>
      <x:c r="E11" s="93"/>
    </x:row>
    <x:row r="12" ht="38" customHeight="1">
      <x:c r="A12" s="93" t="str">
        <x:v>报价单位</x:v>
      </x:c>
      <x:c r="B12" s="95" t="str">
        <x:v>待填写</x:v>
      </x:c>
      <x:c r="C12" s="93" t="str">
        <x:v>对外发送前填写</x:v>
      </x:c>
      <x:c r="D12" s="93"/>
      <x:c r="E12" s="93"/>
    </x:row>
    <x:row r="13" ht="38" customHeight="1">
      <x:c r="A13" s="93" t="str">
        <x:v>日期</x:v>
      </x:c>
      <x:c r="B13" s="96" t="n">
        <x:v>46268</x:v>
      </x:c>
      <x:c r="C13" s="93" t="str">
        <x:v>本次报价日期</x:v>
      </x:c>
      <x:c r="D13" s="93"/>
      <x:c r="E13" s="93"/>
    </x:row>
    <x:row r="14" ht="38" customHeight="1">
      <x:c r="A14" s="93" t="str">
        <x:v>版本</x:v>
      </x:c>
      <x:c r="B14" s="93" t="str">
        <x:v>V1.1 · 客户报价</x:v>
      </x:c>
      <x:c r="C14" s="93" t="str">
        <x:v>分期集中展示，延长排期，价格不变</x:v>
      </x:c>
      <x:c r="D14" s="93"/>
      <x:c r="E14" s="93"/>
    </x:row>
    <x:row r="15" ht="38" customHeight="1">
      <x:c r="A15" s="93" t="str">
        <x:v>每周工作天数</x:v>
      </x:c>
      <x:c r="B15" s="93" t="n">
        <x:v>5</x:v>
      </x:c>
      <x:c r="C15" s="93" t="str">
        <x:v>只用于工作周换算</x:v>
      </x:c>
      <x:c r="D15" s="93"/>
      <x:c r="E15" s="93"/>
    </x:row>
    <x:row r="16" ht="38" customHeight="1">
      <x:c r="A16" s="3"/>
      <x:c r="B16" s="3"/>
      <x:c r="C16" s="3"/>
      <x:c r="D16" s="3"/>
      <x:c r="E16" s="3"/>
    </x:row>
    <x:row r="17" ht="48" customHeight="1">
      <x:c r="A17" s="7" t="str">
        <x:v>三人团队，全栈并兼职QA；按阶段工作日安排，不等于自然日，外部等待与节假日另计。</x:v>
      </x:c>
      <x:c r="B17" s="7"/>
      <x:c r="C17" s="7"/>
      <x:c r="D17" s="7"/>
      <x:c r="E17" s="7"/>
    </x:row>
    <x:row r="18" ht="48" customHeight="1">
      <x:c r="A18" s="7" t="str">
        <x:v>交付范围：小程序＋Flutter App＋管理后台；暂按微信小程序及Android/iOS App，跨端技术路线须先验证。</x:v>
      </x:c>
      <x:c r="B18" s="7"/>
      <x:c r="C18" s="7"/>
      <x:c r="D18" s="7"/>
      <x:c r="E18" s="7"/>
    </x:row>
    <x:row r="19" ht="48" customHeight="1">
      <x:c r="A19" s="7" t="str">
        <x:v>每期工作日增加10、价格不变；三期增补同一App／小程序内达人专用界面，复用现有业务，安排在新增排期内。</x:v>
      </x:c>
      <x:c r="B19" s="7"/>
      <x:c r="C19" s="7"/>
      <x:c r="D19" s="7"/>
      <x:c r="E19" s="7"/>
    </x:row>
    <x:row r="20" ht="38" customHeight="1">
      <x:c r="A20" s="3"/>
      <x:c r="B20" s="3"/>
      <x:c r="C20" s="3"/>
      <x:c r="D20" s="3"/>
      <x:c r="E20" s="3"/>
    </x:row>
  </x:sheetData>
  <x:mergeCells>
    <x:mergeCell ref="A1:E1"/>
    <x:mergeCell ref="A2:E2"/>
    <x:mergeCell ref="C10:E10"/>
    <x:mergeCell ref="C11:E11"/>
    <x:mergeCell ref="C12:E12"/>
    <x:mergeCell ref="C13:E13"/>
    <x:mergeCell ref="C14:E14"/>
    <x:mergeCell ref="C15:E15"/>
    <x:mergeCell ref="A17:E17"/>
    <x:mergeCell ref="A18:E18"/>
    <x:mergeCell ref="A19:E1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27.5" hidden="0" customWidth="1"/>
    <x:col min="3" max="3" width="52.5" hidden="0" customWidth="1"/>
    <x:col min="4" max="4" width="50" hidden="0" customWidth="1"/>
    <x:col min="5" max="5" width="22.5" hidden="0" customWidth="1"/>
    <x:col min="6" max="6" width="28.75" hidden="0" customWidth="1"/>
  </x:cols>
  <x:sheetData>
    <x:row r="1" ht="42" customHeight="1">
      <x:c r="A1" s="5" t="str">
        <x:v>共同约定与资料来源</x:v>
      </x:c>
      <x:c r="B1" s="5"/>
      <x:c r="C1" s="5"/>
      <x:c r="D1" s="5"/>
      <x:c r="E1" s="5"/>
      <x:c r="F1" s="5"/>
    </x:row>
    <x:row r="2" ht="48" customHeight="1">
      <x:c r="A2" s="7" t="str">
        <x:v>每期验收、功能边界和可选增项均在对应明细页；本页仅保留跨期事项。</x:v>
      </x:c>
      <x:c r="B2" s="7"/>
      <x:c r="C2" s="7"/>
      <x:c r="D2" s="7"/>
      <x:c r="E2" s="7"/>
      <x:c r="F2" s="7"/>
    </x:row>
    <x:row r="3" ht="38" customHeight="1">
      <x:c r="A3" s="3"/>
      <x:c r="B3" s="3"/>
      <x:c r="C3" s="3"/>
      <x:c r="D3" s="3"/>
      <x:c r="E3" s="3"/>
      <x:c r="F3" s="3"/>
    </x:row>
    <x:row r="4" ht="34" customHeight="1">
      <x:c r="A4" s="42" t="str">
        <x:v>编号</x:v>
      </x:c>
      <x:c r="B4" s="42" t="str">
        <x:v>主题</x:v>
      </x:c>
      <x:c r="C4" s="42" t="str">
        <x:v>报价包含/验收目标</x:v>
      </x:c>
      <x:c r="D4" s="42" t="str">
        <x:v>前提或不包含</x:v>
      </x:c>
      <x:c r="E4" s="42" t="str">
        <x:v>关联报价</x:v>
      </x:c>
      <x:c r="F4" s="42" t="str">
        <x:v>依据</x:v>
      </x:c>
    </x:row>
    <x:row r="5" ht="90" customHeight="1">
      <x:c r="A5" s="93" t="str">
        <x:v>RISK-Q1</x:v>
      </x:c>
      <x:c r="B5" s="93" t="str">
        <x:v>双端与支付</x:v>
      </x:c>
      <x:c r="C5" s="93" t="str">
        <x:v>小程序＋Flutter App＋管理后台，双端适配单列计入；一个支付渠道的端适配</x:v>
      </x:c>
      <x:c r="D5" s="93" t="str">
        <x:v>暂按微信小程序与Android/iOS App；IAP、自动续费及新增支付渠道另估。平台支付/RTC准入条件需验证，不能保证同一支付方案全端可用</x:v>
      </x:c>
      <x:c r="E5" s="93" t="str">
        <x:v>全部</x:v>
      </x:c>
      <x:c r="F5" s="93" t="str">
        <x:v>用户确认双端；具体技术路线待验证</x:v>
      </x:c>
    </x:row>
    <x:row r="6" ht="90" customHeight="1">
      <x:c r="A6" s="93" t="str">
        <x:v>RISK-Q4</x:v>
      </x:c>
      <x:c r="B6" s="93" t="str">
        <x:v>人力及AI</x:v>
      </x:c>
      <x:c r="C6" s="93" t="str">
        <x:v>3位有相应经验的全栈兼QA，复用基础框架/服务；双端工时已包含</x:v>
      </x:c>
      <x:c r="D6" s="93" t="str">
        <x:v>Flutter官方平台名单不含微信小程序；适配方案需先验证。不把跨端零修改当作报价前提，不自研编译器</x:v>
      </x:c>
      <x:c r="E6" s="93" t="str">
        <x:v>全部</x:v>
      </x:c>
      <x:c r="F6" s="93" t="str">
        <x:v>https://docs.flutter.dev/reference/supported-platforms</x:v>
      </x:c>
    </x:row>
    <x:row r="7" ht="90" customHeight="1">
      <x:c r="A7" s="93" t="str">
        <x:v>RISK-Q5</x:v>
      </x:c>
      <x:c r="B7" s="93" t="str">
        <x:v>范围变更与验收</x:v>
      </x:c>
      <x:c r="C7" s="93" t="str">
        <x:v>每期一次需求冻结、一次集中验收和常规缺陷修复</x:v>
      </x:c>
      <x:c r="D7" s="93" t="str">
        <x:v>新增业务/反复改版/追加端或并发指标需变更估时；不包含无限期需求修改</x:v>
      </x:c>
      <x:c r="E7" s="93" t="str">
        <x:v>全部</x:v>
      </x:c>
      <x:c r="F7" s="93" t="str">
        <x:v>报价假设，待确认</x:v>
      </x:c>
    </x:row>
    <x:row r="8" ht="90" customHeight="1">
      <x:c r="A8" s="93" t="str">
        <x:v>EX-Q2</x:v>
      </x:c>
      <x:c r="B8" s="93" t="str">
        <x:v>运行与采购费用</x:v>
      </x:c>
      <x:c r="C8" s="93" t="str">
        <x:v>开发费与云运行费分开</x:v>
      </x:c>
      <x:c r="D8" s="93" t="str">
        <x:v>云服务器、存储、AI/RTC/短信/IM按量费、算法/SDK商业许可、平台手续费均未包含</x:v>
      </x:c>
      <x:c r="E8" s="93" t="str">
        <x:v>全部</x:v>
      </x:c>
      <x:c r="F8" s="93" t="str">
        <x:v>另有阿里云预算文件</x:v>
      </x:c>
    </x:row>
    <x:row r="9" ht="90" customHeight="1">
      <x:c r="A9" s="93" t="str">
        <x:v>SRC-Q1</x:v>
      </x:c>
      <x:c r="B9" s="93" t="str">
        <x:v>远端最新资料</x:v>
      </x:c>
      <x:c r="C9" s="93" t="str">
        <x:v>已读取提交8f1ac0e新增核心调研和页面分析</x:v>
      </x:c>
      <x:c r="D9" s="93" t="str">
        <x:v>这些资料用于核对场景，不自动覆盖本次用户确认的分期与MVP边界</x:v>
      </x:c>
      <x:c r="E9" s="93" t="str">
        <x:v>一期重点</x:v>
      </x:c>
      <x:c r="F9" s="93" t="str">
        <x:v>E:/ceceapp/测测核心功能调研.md；E:/ceceapp/图片解读/</x:v>
      </x:c>
    </x:row>
    <x:row r="10" ht="90" customHeight="1">
      <x:c r="A10" s="93" t="str">
        <x:v>SRC-Q2</x:v>
      </x:c>
      <x:c r="B10" s="93" t="str">
        <x:v>三期范围来源</x:v>
      </x:c>
      <x:c r="C10" s="93" t="str">
        <x:v>上一轮已生成的分期明细和工作包，与本轮范围/估算假设共同使用</x:v>
      </x:c>
      <x:c r="D10" s="93" t="str">
        <x:v>三期草案尚在独立本地工作区，未声称已并入远端；本报价自包含交付范围</x:v>
      </x:c>
      <x:c r="E10" s="93" t="str">
        <x:v>全部</x:v>
      </x:c>
      <x:c r="F10" s="93" t="str">
        <x:v>E:/ceceapp-three-phase-plan/三期开发计划.md；产品需求功能清单.xlsx</x:v>
      </x:c>
    </x:row>
    <x:row r="11" ht="38" customHeight="1">
      <x:c r="A11" s="3"/>
      <x:c r="B11" s="3"/>
      <x:c r="C11" s="3"/>
      <x:c r="D11" s="3"/>
      <x:c r="E11" s="3"/>
      <x:c r="F11" s="3"/>
    </x:row>
    <x:row r="12" ht="48" customHeight="1">
      <x:c r="A12" s="19" t="str">
        <x:v>跨期可选：再增加一个交付端（本次小程序＋App之外）</x:v>
      </x:c>
      <x:c r="B12" s="19"/>
      <x:c r="C12" s="19"/>
      <x:c r="D12" s="19"/>
      <x:c r="E12" s="19"/>
      <x:c r="F12" s="19"/>
    </x:row>
    <x:row r="13" ht="34" customHeight="1">
      <x:c r="A13" s="42" t="str">
        <x:v>选件</x:v>
      </x:c>
      <x:c r="B13" s="42" t="str">
        <x:v>功能包</x:v>
      </x:c>
      <x:c r="C13" s="42" t="str">
        <x:v>说明</x:v>
      </x:c>
      <x:c r="D13" s="42" t="str">
        <x:v>状态</x:v>
      </x:c>
      <x:c r="E13" s="55" t="str">
        <x:v>未税参考金额</x:v>
      </x:c>
      <x:c r="F13" s="42" t="str">
        <x:v>边界</x:v>
      </x:c>
    </x:row>
    <x:row r="14" ht="68" customHeight="1">
      <x:c r="A14" s="93" t="str">
        <x:v>OPT-01</x:v>
      </x:c>
      <x:c r="B14" s="93" t="str">
        <x:v>再增加一个交付端</x:v>
      </x:c>
      <x:c r="C14" s="93" t="str">
        <x:v>当前双端已计费，不可重复收费</x:v>
      </x:c>
      <x:c r="D14" s="93" t="str">
        <x:v>未选购</x:v>
      </x:c>
      <x:c r="E14" s="98" t="n">
        <x:v>3400</x:v>
      </x:c>
      <x:c r="F14" s="93" t="str">
        <x:v>独立粗估，不含特定预留及税费；组合排期需重估</x:v>
      </x:c>
    </x:row>
    <x:row r="15" ht="38" customHeight="1">
      <x:c r="A15" s="3"/>
      <x:c r="B15" s="3"/>
      <x:c r="C15" s="3"/>
      <x:c r="D15" s="3"/>
      <x:c r="E15" s="3"/>
      <x:c r="F15" s="3"/>
    </x:row>
  </x:sheetData>
  <x:mergeCells>
    <x:mergeCell ref="A1:F1"/>
    <x:mergeCell ref="A2:F2"/>
    <x:mergeCell ref="A12:F1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2.5" hidden="0" customWidth="1"/>
    <x:col min="3" max="3" width="22.5" hidden="0" customWidth="1"/>
    <x:col min="4" max="4" width="12.5" hidden="0" customWidth="1"/>
    <x:col min="5" max="5" width="60" hidden="0" customWidth="1"/>
  </x:cols>
  <x:sheetData>
    <x:row r="1" ht="42" customHeight="1">
      <x:c r="A1" s="5" t="str">
        <x:v>报价与排期验算</x:v>
      </x:c>
      <x:c r="B1" s="5"/>
      <x:c r="C1" s="5"/>
      <x:c r="D1" s="5"/>
      <x:c r="E1" s="5"/>
    </x:row>
    <x:row r="2" ht="48" customHeight="1">
      <x:c r="A2" s="7" t="str">
        <x:v>PASS仅表示金额和排期汇总一致，不代表软件已交付或客户已确认。</x:v>
      </x:c>
      <x:c r="B2" s="7"/>
      <x:c r="C2" s="7"/>
      <x:c r="D2" s="7"/>
      <x:c r="E2" s="7"/>
    </x:row>
    <x:row r="3" ht="38" customHeight="1">
      <x:c r="A3" s="3"/>
      <x:c r="B3" s="3"/>
      <x:c r="C3" s="3"/>
      <x:c r="D3" s="3"/>
      <x:c r="E3" s="3"/>
    </x:row>
    <x:row r="4" ht="34" customHeight="1">
      <x:c r="A4" s="42" t="str">
        <x:v>检查项</x:v>
      </x:c>
      <x:c r="B4" s="55" t="str">
        <x:v>实际值</x:v>
      </x:c>
      <x:c r="C4" s="55" t="str">
        <x:v>原价 / 目标值</x:v>
      </x:c>
      <x:c r="D4" s="42" t="str">
        <x:v>结果</x:v>
      </x:c>
      <x:c r="E4" s="42" t="str">
        <x:v>说明</x:v>
      </x:c>
    </x:row>
    <x:row r="5" ht="38" customHeight="1">
      <x:c r="A5" s="93" t="str">
        <x:v>一期金额</x:v>
      </x:c>
      <x:c r="B5" s="98" t="n">
        <x:f>'一期报价明细'!D18</x:f>
        <x:v>14400</x:v>
      </x:c>
      <x:c r="C5" s="98" t="n">
        <x:v>14400</x:v>
      </x:c>
      <x:c r="D5" s="93" t="str">
        <x:f>IF(B5=C5,"PASS","FAIL")</x:f>
        <x:v>PASS</x:v>
      </x:c>
      <x:c r="E5" s="93" t="str">
        <x:v>对照上一版金额，确保延长工作日不改变价格</x:v>
      </x:c>
    </x:row>
    <x:row r="6" ht="38" customHeight="1">
      <x:c r="A6" s="93" t="str">
        <x:v>二期金额</x:v>
      </x:c>
      <x:c r="B6" s="98" t="n">
        <x:f>'二期报价明细'!D18</x:f>
        <x:v>14300</x:v>
      </x:c>
      <x:c r="C6" s="98" t="n">
        <x:v>14300</x:v>
      </x:c>
      <x:c r="D6" s="93" t="str">
        <x:f>IF(B6=C6,"PASS","FAIL")</x:f>
        <x:v>PASS</x:v>
      </x:c>
      <x:c r="E6" s="93" t="str">
        <x:v>对照上一版金额，确保延长工作日不改变价格</x:v>
      </x:c>
    </x:row>
    <x:row r="7" ht="38" customHeight="1">
      <x:c r="A7" s="93" t="str">
        <x:v>三期金额</x:v>
      </x:c>
      <x:c r="B7" s="98" t="n">
        <x:f>'三期报价明细'!D18</x:f>
        <x:v>17000</x:v>
      </x:c>
      <x:c r="C7" s="98" t="n">
        <x:v>17000</x:v>
      </x:c>
      <x:c r="D7" s="93" t="str">
        <x:f>IF(B7=C7,"PASS","FAIL")</x:f>
        <x:v>PASS</x:v>
      </x:c>
      <x:c r="E7" s="93" t="str">
        <x:v>对照上一版金额，确保延长工作日不改变价格</x:v>
      </x:c>
    </x:row>
    <x:row r="8" ht="38" customHeight="1">
      <x:c r="A8" s="93" t="str">
        <x:v>总价一致</x:v>
      </x:c>
      <x:c r="B8" s="98" t="n">
        <x:f>'客户报价总览'!D8</x:f>
        <x:v>45700</x:v>
      </x:c>
      <x:c r="C8" s="98" t="n">
        <x:f>SUM(C5:C7)</x:f>
        <x:v>45700</x:v>
      </x:c>
      <x:c r="D8" s="93" t="str">
        <x:f>IF(B8=C8,"PASS","FAIL")</x:f>
        <x:v>PASS</x:v>
      </x:c>
      <x:c r="E8" s="93"/>
    </x:row>
    <x:row r="9" ht="38" customHeight="1">
      <x:c r="A9" s="93" t="str">
        <x:v>总工作日</x:v>
      </x:c>
      <x:c r="B9" s="99" t="n">
        <x:f>'客户报价总览'!C8</x:f>
        <x:v>107</x:v>
      </x:c>
      <x:c r="C9" s="99" t="n">
        <x:f>SUM('报价参数'!B5:C7)</x:f>
        <x:v>107</x:v>
      </x:c>
      <x:c r="D9" s="93" t="str">
        <x:f>IF(B9=C9,"PASS","FAIL")</x:f>
        <x:v>PASS</x:v>
      </x:c>
      <x:c r="E9" s="93" t="str">
        <x:v>三期原排期分别增加10个工作日</x:v>
      </x:c>
    </x:row>
    <x:row r="10" ht="38" customHeight="1">
      <x:c r="A10" s="93" t="str">
        <x:v>税口径</x:v>
      </x:c>
      <x:c r="B10" s="99"/>
      <x:c r="C10" s="99"/>
      <x:c r="D10" s="93" t="str">
        <x:f>IF(COUNT('报价参数'!B10)=0,"待确认","已填写")</x:f>
        <x:v>待确认</x:v>
      </x:c>
      <x:c r="E10" s="93"/>
    </x:row>
    <x:row r="11" ht="38" customHeight="1">
      <x:c r="A11" s="3"/>
      <x:c r="B11" s="3"/>
      <x:c r="C11" s="3"/>
      <x:c r="D11" s="3"/>
      <x:c r="E11" s="3"/>
    </x:row>
    <x:row r="12" ht="38" customHeight="1">
      <x:c r="A12" s="3"/>
      <x:c r="B12" s="3"/>
      <x:c r="C12" s="3"/>
      <x:c r="D12" s="3"/>
      <x:c r="E12" s="3"/>
    </x:row>
    <x:row r="13" ht="38" customHeight="1">
      <x:c r="A13" s="3"/>
      <x:c r="B13" s="3"/>
      <x:c r="C13" s="3"/>
      <x:c r="D13" s="3"/>
      <x:c r="E13" s="3"/>
    </x:row>
  </x:sheetData>
  <x:mergeCells>
    <x:mergeCell ref="A1:E1"/>
    <x:mergeCell ref="A2:E2"/>
  </x:mergeCells>
  <x:conditionalFormatting sqref="D5:D9">
    <x:cfRule type="containsText" dxfId="0" priority="1" operator="containsText" text="PASS"/>
  </x:conditionalFormatting>
  <x:pageMargins left="0.7" right="0.7" top="0.75" bottom="0.75" header="0.3" footer="0.3"/>
</x:worksheet>
</file>